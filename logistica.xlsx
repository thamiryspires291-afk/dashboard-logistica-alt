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T COLETA\Desktop\dashboard-logistica\"/>
    </mc:Choice>
  </mc:AlternateContent>
  <xr:revisionPtr revIDLastSave="0" documentId="13_ncr:1_{88BF441C-BDC8-4326-91D6-1AF5BCA9234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ANCAMENTO" sheetId="1" r:id="rId1"/>
    <sheet name="BASE_DADOS" sheetId="2" r:id="rId2"/>
    <sheet name="ADM_ATENDIMENTO" sheetId="3" r:id="rId3"/>
    <sheet name="BAIXA_MOBILE" sheetId="4" r:id="rId4"/>
    <sheet name="BAIXA_PILOTO" sheetId="5" r:id="rId5"/>
  </sheets>
  <externalReferences>
    <externalReference r:id="rId6"/>
  </externalReferences>
  <definedNames>
    <definedName name="_xlnm._FilterDatabase" localSheetId="3" hidden="1">BAIXA_MOBILE!$A$1:$E$1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2" i="4"/>
  <c r="D2" i="2"/>
  <c r="F2" i="2" s="1"/>
  <c r="C2" i="2" s="1"/>
  <c r="E2" i="2"/>
  <c r="D3" i="2"/>
  <c r="E3" i="2"/>
  <c r="D4" i="2"/>
  <c r="E4" i="2"/>
  <c r="D5" i="2"/>
  <c r="F5" i="2" s="1"/>
  <c r="C5" i="2" s="1"/>
  <c r="E5" i="2"/>
  <c r="D6" i="2"/>
  <c r="E6" i="2"/>
  <c r="D7" i="2"/>
  <c r="E7" i="2"/>
  <c r="D8" i="2"/>
  <c r="E8" i="2"/>
  <c r="D9" i="2"/>
  <c r="E9" i="2"/>
  <c r="F9" i="2" s="1"/>
  <c r="C9" i="2" s="1"/>
  <c r="D10" i="2"/>
  <c r="F10" i="2" s="1"/>
  <c r="C10" i="2" s="1"/>
  <c r="E10" i="2"/>
  <c r="D11" i="2"/>
  <c r="E11" i="2"/>
  <c r="D12" i="2"/>
  <c r="E12" i="2"/>
  <c r="D13" i="2"/>
  <c r="E13" i="2"/>
  <c r="D14" i="2"/>
  <c r="E14" i="2"/>
  <c r="D15" i="2"/>
  <c r="E15" i="2"/>
  <c r="F15" i="2" s="1"/>
  <c r="C15" i="2" s="1"/>
  <c r="D16" i="2"/>
  <c r="E16" i="2"/>
  <c r="D17" i="2"/>
  <c r="E17" i="2"/>
  <c r="D18" i="2"/>
  <c r="E18" i="2"/>
  <c r="D19" i="2"/>
  <c r="E19" i="2"/>
  <c r="D20" i="2"/>
  <c r="E20" i="2"/>
  <c r="D21" i="2"/>
  <c r="E21" i="2"/>
  <c r="F21" i="2" s="1"/>
  <c r="C21" i="2" s="1"/>
  <c r="D22" i="2"/>
  <c r="F22" i="2" s="1"/>
  <c r="C22" i="2" s="1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F33" i="2" s="1"/>
  <c r="C33" i="2" s="1"/>
  <c r="D34" i="2"/>
  <c r="F34" i="2" s="1"/>
  <c r="C34" i="2" s="1"/>
  <c r="E34" i="2"/>
  <c r="D35" i="2"/>
  <c r="E35" i="2"/>
  <c r="D36" i="2"/>
  <c r="F36" i="2" s="1"/>
  <c r="C36" i="2" s="1"/>
  <c r="E36" i="2"/>
  <c r="D37" i="2"/>
  <c r="E37" i="2"/>
  <c r="D38" i="2"/>
  <c r="E38" i="2"/>
  <c r="D39" i="2"/>
  <c r="E39" i="2"/>
  <c r="D40" i="2"/>
  <c r="F40" i="2" s="1"/>
  <c r="C40" i="2" s="1"/>
  <c r="E40" i="2"/>
  <c r="D41" i="2"/>
  <c r="E41" i="2"/>
  <c r="D42" i="2"/>
  <c r="E42" i="2"/>
  <c r="D43" i="2"/>
  <c r="E43" i="2"/>
  <c r="D44" i="2"/>
  <c r="F44" i="2" s="1"/>
  <c r="C44" i="2" s="1"/>
  <c r="E44" i="2"/>
  <c r="D45" i="2"/>
  <c r="E45" i="2"/>
  <c r="F45" i="2" s="1"/>
  <c r="C45" i="2" s="1"/>
  <c r="D46" i="2"/>
  <c r="E46" i="2"/>
  <c r="D47" i="2"/>
  <c r="E47" i="2"/>
  <c r="D48" i="2"/>
  <c r="E48" i="2"/>
  <c r="D49" i="2"/>
  <c r="E49" i="2"/>
  <c r="D50" i="2"/>
  <c r="F50" i="2" s="1"/>
  <c r="C50" i="2" s="1"/>
  <c r="E50" i="2"/>
  <c r="D51" i="2"/>
  <c r="E51" i="2"/>
  <c r="F51" i="2" s="1"/>
  <c r="C51" i="2" s="1"/>
  <c r="D52" i="2"/>
  <c r="F52" i="2" s="1"/>
  <c r="C52" i="2" s="1"/>
  <c r="E52" i="2"/>
  <c r="D53" i="2"/>
  <c r="E53" i="2"/>
  <c r="F53" i="2" s="1"/>
  <c r="C53" i="2" s="1"/>
  <c r="D54" i="2"/>
  <c r="E54" i="2"/>
  <c r="D55" i="2"/>
  <c r="E55" i="2"/>
  <c r="D56" i="2"/>
  <c r="E56" i="2"/>
  <c r="D57" i="2"/>
  <c r="E57" i="2"/>
  <c r="F57" i="2" s="1"/>
  <c r="C57" i="2" s="1"/>
  <c r="D58" i="2"/>
  <c r="E58" i="2"/>
  <c r="D59" i="2"/>
  <c r="E59" i="2"/>
  <c r="D60" i="2"/>
  <c r="E60" i="2"/>
  <c r="D61" i="2"/>
  <c r="E61" i="2"/>
  <c r="D62" i="2"/>
  <c r="F62" i="2" s="1"/>
  <c r="C62" i="2" s="1"/>
  <c r="E62" i="2"/>
  <c r="D63" i="2"/>
  <c r="E63" i="2"/>
  <c r="F63" i="2" s="1"/>
  <c r="C63" i="2" s="1"/>
  <c r="C3" i="3"/>
  <c r="C4" i="3"/>
  <c r="C5" i="3"/>
  <c r="C2" i="3"/>
  <c r="F4" i="5"/>
  <c r="F3" i="5"/>
  <c r="F2" i="5"/>
  <c r="F39" i="2"/>
  <c r="C39" i="2" s="1"/>
  <c r="F38" i="2"/>
  <c r="C38" i="2" s="1"/>
  <c r="F32" i="2"/>
  <c r="C32" i="2" s="1"/>
  <c r="F27" i="2"/>
  <c r="C27" i="2" s="1"/>
  <c r="F26" i="2"/>
  <c r="C26" i="2" s="1"/>
  <c r="F20" i="2"/>
  <c r="C20" i="2" s="1"/>
  <c r="F14" i="2"/>
  <c r="C14" i="2" s="1"/>
  <c r="F8" i="2"/>
  <c r="C8" i="2" s="1"/>
  <c r="F3" i="2"/>
  <c r="C3" i="2" s="1"/>
  <c r="E63" i="1"/>
  <c r="D63" i="1"/>
  <c r="F63" i="1" s="1"/>
  <c r="C63" i="1" s="1"/>
  <c r="E62" i="1"/>
  <c r="D62" i="1"/>
  <c r="F62" i="1" s="1"/>
  <c r="C62" i="1" s="1"/>
  <c r="E61" i="1"/>
  <c r="D61" i="1"/>
  <c r="F61" i="1" s="1"/>
  <c r="C61" i="1" s="1"/>
  <c r="E60" i="1"/>
  <c r="D60" i="1"/>
  <c r="E59" i="1"/>
  <c r="D59" i="1"/>
  <c r="F59" i="1" s="1"/>
  <c r="C59" i="1" s="1"/>
  <c r="E58" i="1"/>
  <c r="D58" i="1"/>
  <c r="E57" i="1"/>
  <c r="D57" i="1"/>
  <c r="F57" i="1" s="1"/>
  <c r="C57" i="1" s="1"/>
  <c r="E56" i="1"/>
  <c r="D56" i="1"/>
  <c r="F56" i="1" s="1"/>
  <c r="C56" i="1" s="1"/>
  <c r="E55" i="1"/>
  <c r="D55" i="1"/>
  <c r="F55" i="1" s="1"/>
  <c r="C55" i="1" s="1"/>
  <c r="E54" i="1"/>
  <c r="D54" i="1"/>
  <c r="E53" i="1"/>
  <c r="D53" i="1"/>
  <c r="F53" i="1" s="1"/>
  <c r="C53" i="1" s="1"/>
  <c r="E52" i="1"/>
  <c r="D52" i="1"/>
  <c r="E51" i="1"/>
  <c r="D51" i="1"/>
  <c r="F51" i="1" s="1"/>
  <c r="C51" i="1" s="1"/>
  <c r="E50" i="1"/>
  <c r="D50" i="1"/>
  <c r="F50" i="1" s="1"/>
  <c r="C50" i="1" s="1"/>
  <c r="E49" i="1"/>
  <c r="D49" i="1"/>
  <c r="F49" i="1" s="1"/>
  <c r="C49" i="1" s="1"/>
  <c r="E48" i="1"/>
  <c r="D48" i="1"/>
  <c r="E47" i="1"/>
  <c r="D47" i="1"/>
  <c r="F47" i="1" s="1"/>
  <c r="C47" i="1" s="1"/>
  <c r="E46" i="1"/>
  <c r="D46" i="1"/>
  <c r="E45" i="1"/>
  <c r="D45" i="1"/>
  <c r="F45" i="1" s="1"/>
  <c r="C45" i="1" s="1"/>
  <c r="E44" i="1"/>
  <c r="D44" i="1"/>
  <c r="F44" i="1" s="1"/>
  <c r="C44" i="1" s="1"/>
  <c r="E43" i="1"/>
  <c r="D43" i="1"/>
  <c r="F43" i="1" s="1"/>
  <c r="C43" i="1" s="1"/>
  <c r="E42" i="1"/>
  <c r="D42" i="1"/>
  <c r="E41" i="1"/>
  <c r="D41" i="1"/>
  <c r="F41" i="1" s="1"/>
  <c r="C41" i="1" s="1"/>
  <c r="E40" i="1"/>
  <c r="D40" i="1"/>
  <c r="E39" i="1"/>
  <c r="D39" i="1"/>
  <c r="F39" i="1" s="1"/>
  <c r="C39" i="1" s="1"/>
  <c r="E38" i="1"/>
  <c r="D38" i="1"/>
  <c r="F38" i="1" s="1"/>
  <c r="C38" i="1" s="1"/>
  <c r="E37" i="1"/>
  <c r="D37" i="1"/>
  <c r="F37" i="1" s="1"/>
  <c r="C37" i="1" s="1"/>
  <c r="E36" i="1"/>
  <c r="D36" i="1"/>
  <c r="E35" i="1"/>
  <c r="D35" i="1"/>
  <c r="F35" i="1" s="1"/>
  <c r="C35" i="1" s="1"/>
  <c r="E34" i="1"/>
  <c r="D34" i="1"/>
  <c r="E33" i="1"/>
  <c r="D33" i="1"/>
  <c r="F33" i="1" s="1"/>
  <c r="C33" i="1" s="1"/>
  <c r="E32" i="1"/>
  <c r="D32" i="1"/>
  <c r="F32" i="1" s="1"/>
  <c r="C32" i="1" s="1"/>
  <c r="E31" i="1"/>
  <c r="D31" i="1"/>
  <c r="F31" i="1" s="1"/>
  <c r="C31" i="1" s="1"/>
  <c r="E30" i="1"/>
  <c r="D30" i="1"/>
  <c r="E29" i="1"/>
  <c r="D29" i="1"/>
  <c r="F29" i="1" s="1"/>
  <c r="C29" i="1" s="1"/>
  <c r="E28" i="1"/>
  <c r="D28" i="1"/>
  <c r="F28" i="1" s="1"/>
  <c r="C28" i="1" s="1"/>
  <c r="E27" i="1"/>
  <c r="D27" i="1"/>
  <c r="F27" i="1" s="1"/>
  <c r="C27" i="1" s="1"/>
  <c r="E26" i="1"/>
  <c r="D26" i="1"/>
  <c r="F26" i="1" s="1"/>
  <c r="C26" i="1" s="1"/>
  <c r="E25" i="1"/>
  <c r="D25" i="1"/>
  <c r="F25" i="1" s="1"/>
  <c r="C25" i="1" s="1"/>
  <c r="E24" i="1"/>
  <c r="D24" i="1"/>
  <c r="E23" i="1"/>
  <c r="D23" i="1"/>
  <c r="F23" i="1" s="1"/>
  <c r="C23" i="1" s="1"/>
  <c r="E22" i="1"/>
  <c r="D22" i="1"/>
  <c r="F22" i="1" s="1"/>
  <c r="C22" i="1" s="1"/>
  <c r="E21" i="1"/>
  <c r="D21" i="1"/>
  <c r="F21" i="1" s="1"/>
  <c r="C21" i="1" s="1"/>
  <c r="E20" i="1"/>
  <c r="D20" i="1"/>
  <c r="F20" i="1" s="1"/>
  <c r="C20" i="1" s="1"/>
  <c r="E19" i="1"/>
  <c r="D19" i="1"/>
  <c r="F19" i="1" s="1"/>
  <c r="C19" i="1" s="1"/>
  <c r="E18" i="1"/>
  <c r="D18" i="1"/>
  <c r="E17" i="1"/>
  <c r="D17" i="1"/>
  <c r="F17" i="1" s="1"/>
  <c r="C17" i="1" s="1"/>
  <c r="E16" i="1"/>
  <c r="D16" i="1"/>
  <c r="F16" i="1" s="1"/>
  <c r="C16" i="1" s="1"/>
  <c r="E15" i="1"/>
  <c r="D15" i="1"/>
  <c r="F15" i="1" s="1"/>
  <c r="C15" i="1" s="1"/>
  <c r="E14" i="1"/>
  <c r="D14" i="1"/>
  <c r="F14" i="1" s="1"/>
  <c r="C14" i="1" s="1"/>
  <c r="E13" i="1"/>
  <c r="D13" i="1"/>
  <c r="F13" i="1" s="1"/>
  <c r="C13" i="1" s="1"/>
  <c r="E12" i="1"/>
  <c r="D12" i="1"/>
  <c r="E11" i="1"/>
  <c r="D11" i="1"/>
  <c r="F11" i="1" s="1"/>
  <c r="C11" i="1" s="1"/>
  <c r="E10" i="1"/>
  <c r="D10" i="1"/>
  <c r="F10" i="1" s="1"/>
  <c r="C10" i="1" s="1"/>
  <c r="E9" i="1"/>
  <c r="D9" i="1"/>
  <c r="F9" i="1" s="1"/>
  <c r="C9" i="1" s="1"/>
  <c r="E8" i="1"/>
  <c r="D8" i="1"/>
  <c r="F8" i="1" s="1"/>
  <c r="C8" i="1" s="1"/>
  <c r="E7" i="1"/>
  <c r="D7" i="1"/>
  <c r="F7" i="1" s="1"/>
  <c r="C7" i="1" s="1"/>
  <c r="E6" i="1"/>
  <c r="D6" i="1"/>
  <c r="E5" i="1"/>
  <c r="D5" i="1"/>
  <c r="F5" i="1" s="1"/>
  <c r="C5" i="1" s="1"/>
  <c r="E4" i="1"/>
  <c r="D4" i="1"/>
  <c r="F4" i="1" s="1"/>
  <c r="C4" i="1" s="1"/>
  <c r="E3" i="1"/>
  <c r="D3" i="1"/>
  <c r="F3" i="1" s="1"/>
  <c r="C3" i="1" s="1"/>
  <c r="E2" i="1"/>
  <c r="D2" i="1"/>
  <c r="F2" i="1" s="1"/>
  <c r="C2" i="1" s="1"/>
  <c r="F6" i="2" l="1"/>
  <c r="C6" i="2" s="1"/>
  <c r="F48" i="2"/>
  <c r="C48" i="2" s="1"/>
  <c r="F11" i="2"/>
  <c r="C11" i="2" s="1"/>
  <c r="F35" i="2"/>
  <c r="C35" i="2" s="1"/>
  <c r="F23" i="2"/>
  <c r="C23" i="2" s="1"/>
  <c r="F34" i="1"/>
  <c r="C34" i="1" s="1"/>
  <c r="F40" i="1"/>
  <c r="C40" i="1" s="1"/>
  <c r="F46" i="1"/>
  <c r="C46" i="1" s="1"/>
  <c r="F52" i="1"/>
  <c r="C52" i="1" s="1"/>
  <c r="F58" i="1"/>
  <c r="C58" i="1" s="1"/>
  <c r="F28" i="2"/>
  <c r="C28" i="2" s="1"/>
  <c r="F6" i="1"/>
  <c r="C6" i="1" s="1"/>
  <c r="F12" i="1"/>
  <c r="C12" i="1" s="1"/>
  <c r="F18" i="1"/>
  <c r="C18" i="1" s="1"/>
  <c r="F24" i="1"/>
  <c r="C24" i="1" s="1"/>
  <c r="F30" i="1"/>
  <c r="C30" i="1" s="1"/>
  <c r="F36" i="1"/>
  <c r="C36" i="1" s="1"/>
  <c r="F42" i="1"/>
  <c r="C42" i="1" s="1"/>
  <c r="F48" i="1"/>
  <c r="C48" i="1" s="1"/>
  <c r="F54" i="1"/>
  <c r="C54" i="1" s="1"/>
  <c r="F60" i="1"/>
  <c r="C60" i="1" s="1"/>
  <c r="F56" i="2"/>
  <c r="C56" i="2" s="1"/>
  <c r="F54" i="2"/>
  <c r="C54" i="2" s="1"/>
  <c r="F18" i="2"/>
  <c r="C18" i="2" s="1"/>
  <c r="F29" i="2"/>
  <c r="C29" i="2" s="1"/>
  <c r="F58" i="2"/>
  <c r="C58" i="2" s="1"/>
  <c r="F16" i="2"/>
  <c r="C16" i="2" s="1"/>
  <c r="F30" i="2"/>
  <c r="C30" i="2" s="1"/>
  <c r="F12" i="2"/>
  <c r="C12" i="2" s="1"/>
  <c r="F47" i="2"/>
  <c r="C47" i="2" s="1"/>
  <c r="F4" i="2"/>
  <c r="C4" i="2" s="1"/>
  <c r="F60" i="2"/>
  <c r="C60" i="2" s="1"/>
  <c r="F42" i="2"/>
  <c r="C42" i="2" s="1"/>
  <c r="F24" i="2"/>
  <c r="C24" i="2" s="1"/>
  <c r="F59" i="2"/>
  <c r="C59" i="2" s="1"/>
  <c r="F41" i="2"/>
  <c r="C41" i="2" s="1"/>
  <c r="F17" i="2"/>
  <c r="C17" i="2" s="1"/>
  <c r="F46" i="2"/>
  <c r="C46" i="2" s="1"/>
  <c r="F7" i="2"/>
  <c r="C7" i="2" s="1"/>
  <c r="F13" i="2"/>
  <c r="C13" i="2" s="1"/>
  <c r="F19" i="2"/>
  <c r="C19" i="2" s="1"/>
  <c r="F25" i="2"/>
  <c r="C25" i="2" s="1"/>
  <c r="F31" i="2"/>
  <c r="C31" i="2" s="1"/>
  <c r="F37" i="2"/>
  <c r="C37" i="2" s="1"/>
  <c r="F43" i="2"/>
  <c r="C43" i="2" s="1"/>
  <c r="F49" i="2"/>
  <c r="C49" i="2" s="1"/>
  <c r="F55" i="2"/>
  <c r="C55" i="2" s="1"/>
  <c r="F61" i="2"/>
  <c r="C61" i="2" s="1"/>
</calcChain>
</file>

<file path=xl/sharedStrings.xml><?xml version="1.0" encoding="utf-8"?>
<sst xmlns="http://schemas.openxmlformats.org/spreadsheetml/2006/main" count="379" uniqueCount="95">
  <si>
    <t>Data</t>
  </si>
  <si>
    <t>Placa_do_veiculo</t>
  </si>
  <si>
    <t>Em_Rota</t>
  </si>
  <si>
    <t>Comandada</t>
  </si>
  <si>
    <t>Coletada</t>
  </si>
  <si>
    <t>Total</t>
  </si>
  <si>
    <t>Ajudante_ALT</t>
  </si>
  <si>
    <t>Ajudante_SK</t>
  </si>
  <si>
    <t>Faltas</t>
  </si>
  <si>
    <t>ABA1A46</t>
  </si>
  <si>
    <t>Sim</t>
  </si>
  <si>
    <t>ABT3C92</t>
  </si>
  <si>
    <t>ACI7308</t>
  </si>
  <si>
    <t>ADJ0E36</t>
  </si>
  <si>
    <t>BTS1D72</t>
  </si>
  <si>
    <t>BWD4H10</t>
  </si>
  <si>
    <t>BWY4E93</t>
  </si>
  <si>
    <t>BXF5A78</t>
  </si>
  <si>
    <t>CHO7622</t>
  </si>
  <si>
    <t>CVZ5G22</t>
  </si>
  <si>
    <t>GMS5D35</t>
  </si>
  <si>
    <t>GOO3D69</t>
  </si>
  <si>
    <t>GPF2G59</t>
  </si>
  <si>
    <t>GQQ1E68</t>
  </si>
  <si>
    <t>HOZ8648</t>
  </si>
  <si>
    <t>HQR3G22</t>
  </si>
  <si>
    <t>JFE5578</t>
  </si>
  <si>
    <t>JYB5005</t>
  </si>
  <si>
    <t>JYC9C40</t>
  </si>
  <si>
    <t>JYS3216</t>
  </si>
  <si>
    <t>JZH8887</t>
  </si>
  <si>
    <t>JZY6J93</t>
  </si>
  <si>
    <t>KAA4005</t>
  </si>
  <si>
    <t>KAB9995</t>
  </si>
  <si>
    <t>KAM1C84</t>
  </si>
  <si>
    <t>KAQ0896</t>
  </si>
  <si>
    <t>KAQ5295</t>
  </si>
  <si>
    <t>KAU4589</t>
  </si>
  <si>
    <t>KCM8B08</t>
  </si>
  <si>
    <t>KMM4443</t>
  </si>
  <si>
    <t>KVB5H68</t>
  </si>
  <si>
    <t>LAF9C37</t>
  </si>
  <si>
    <t>MRG3G61</t>
  </si>
  <si>
    <t>MVT2B66</t>
  </si>
  <si>
    <t>NJB5320</t>
  </si>
  <si>
    <t>NJG1D79</t>
  </si>
  <si>
    <t>NJH2F53</t>
  </si>
  <si>
    <t>NJR5024</t>
  </si>
  <si>
    <t>NPE2362</t>
  </si>
  <si>
    <t>NPJ6329</t>
  </si>
  <si>
    <t>NTZ5836</t>
  </si>
  <si>
    <t>NTZ7260</t>
  </si>
  <si>
    <t>NUE6509</t>
  </si>
  <si>
    <t>NUF4132</t>
  </si>
  <si>
    <t>OBJ7D66</t>
  </si>
  <si>
    <t>OBL4792</t>
  </si>
  <si>
    <t>OBL4842</t>
  </si>
  <si>
    <t>OBL4852</t>
  </si>
  <si>
    <t>OBL4962</t>
  </si>
  <si>
    <t>PWB7J33</t>
  </si>
  <si>
    <t>QBA2D74</t>
  </si>
  <si>
    <t>QBZ4D78</t>
  </si>
  <si>
    <t>QCG9119</t>
  </si>
  <si>
    <t>QCR4511</t>
  </si>
  <si>
    <t>QCR4521</t>
  </si>
  <si>
    <t>QCR4551</t>
  </si>
  <si>
    <t>QCS4091</t>
  </si>
  <si>
    <t>RAP1J28</t>
  </si>
  <si>
    <t>RAP1J38</t>
  </si>
  <si>
    <t>RAT6F98</t>
  </si>
  <si>
    <t>RAZ5H51</t>
  </si>
  <si>
    <t>RUI4C75</t>
  </si>
  <si>
    <t>Atendente</t>
  </si>
  <si>
    <t>Ligacoes</t>
  </si>
  <si>
    <t>Atendidas</t>
  </si>
  <si>
    <t>Nao_Atendidas</t>
  </si>
  <si>
    <t>Sacflow</t>
  </si>
  <si>
    <t>Atendimento</t>
  </si>
  <si>
    <t>Percentual_Atendimento</t>
  </si>
  <si>
    <t>Bianca</t>
  </si>
  <si>
    <t>Akyra</t>
  </si>
  <si>
    <t>Karyne</t>
  </si>
  <si>
    <t>Vanielle</t>
  </si>
  <si>
    <t>Baixada</t>
  </si>
  <si>
    <t>Cancelada</t>
  </si>
  <si>
    <t>Bruna</t>
  </si>
  <si>
    <t>Edilene</t>
  </si>
  <si>
    <t>Italo</t>
  </si>
  <si>
    <t>4.55</t>
  </si>
  <si>
    <t>4.71</t>
  </si>
  <si>
    <t>4.84</t>
  </si>
  <si>
    <t>BWE4J32</t>
  </si>
  <si>
    <t>KAN1C84</t>
  </si>
  <si>
    <t>NJK5024</t>
  </si>
  <si>
    <t>QCR4541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</si>
</sst>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sta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</sheetNames>
    <sheetDataSet>
      <sheetData sheetId="0">
        <row r="2">
          <cell r="B2" t="str">
            <v>ABA1A46</v>
          </cell>
          <cell r="C2" t="str">
            <v>JOAMILTON SANTANA DA SILVA</v>
          </cell>
          <cell r="D2">
            <v>0</v>
          </cell>
          <cell r="E2">
            <v>8</v>
          </cell>
          <cell r="F2">
            <v>3</v>
          </cell>
        </row>
        <row r="3">
          <cell r="B3" t="str">
            <v>ABT3C92</v>
          </cell>
          <cell r="C3" t="str">
            <v>RAFAEL JONE DE MORAIS ROSA</v>
          </cell>
          <cell r="D3">
            <v>0</v>
          </cell>
          <cell r="E3">
            <v>8</v>
          </cell>
          <cell r="F3">
            <v>0</v>
          </cell>
        </row>
        <row r="4">
          <cell r="B4" t="str">
            <v>ACI7308</v>
          </cell>
          <cell r="C4" t="str">
            <v>GEOVANNI PEDRO DA SILVA</v>
          </cell>
          <cell r="D4">
            <v>0</v>
          </cell>
          <cell r="E4">
            <v>5</v>
          </cell>
          <cell r="F4">
            <v>1</v>
          </cell>
        </row>
        <row r="5">
          <cell r="B5" t="str">
            <v>ADJ0E36</v>
          </cell>
          <cell r="C5" t="str">
            <v>EDELSON RODRIGO BERALDI</v>
          </cell>
          <cell r="D5">
            <v>0</v>
          </cell>
          <cell r="E5">
            <v>15</v>
          </cell>
          <cell r="F5">
            <v>7</v>
          </cell>
        </row>
        <row r="6">
          <cell r="B6" t="str">
            <v>BTS1D72</v>
          </cell>
          <cell r="C6" t="str">
            <v>JOSIMAR VALENTINHO DE SOUZA</v>
          </cell>
          <cell r="D6">
            <v>1500</v>
          </cell>
          <cell r="E6">
            <v>5</v>
          </cell>
          <cell r="F6">
            <v>1</v>
          </cell>
        </row>
        <row r="7">
          <cell r="B7" t="str">
            <v>BWD4H10</v>
          </cell>
          <cell r="C7" t="str">
            <v>MARCOS ANTONIO TIMOTEO</v>
          </cell>
          <cell r="D7">
            <v>0</v>
          </cell>
          <cell r="E7">
            <v>19</v>
          </cell>
          <cell r="F7">
            <v>0</v>
          </cell>
        </row>
        <row r="8">
          <cell r="B8" t="str">
            <v>BWE4J32</v>
          </cell>
          <cell r="C8" t="str">
            <v>LUCIANO FRANCISCO</v>
          </cell>
          <cell r="D8">
            <v>0</v>
          </cell>
          <cell r="E8">
            <v>6</v>
          </cell>
          <cell r="F8">
            <v>2</v>
          </cell>
        </row>
        <row r="9">
          <cell r="B9" t="str">
            <v>BWY4E93</v>
          </cell>
          <cell r="C9" t="str">
            <v>EDER BATISTA DA GUIA</v>
          </cell>
          <cell r="D9">
            <v>0</v>
          </cell>
          <cell r="E9">
            <v>4</v>
          </cell>
          <cell r="F9">
            <v>0</v>
          </cell>
        </row>
        <row r="10">
          <cell r="B10" t="str">
            <v>BXF5A78</v>
          </cell>
          <cell r="C10" t="str">
            <v>JUNIOR GONCALVES LEITE</v>
          </cell>
          <cell r="D10">
            <v>0</v>
          </cell>
          <cell r="E10">
            <v>3</v>
          </cell>
          <cell r="F10">
            <v>0</v>
          </cell>
        </row>
        <row r="11">
          <cell r="B11" t="str">
            <v>CHO7622</v>
          </cell>
          <cell r="C11" t="str">
            <v>ODINEI APARECIDO DE FIGUEIREDO</v>
          </cell>
          <cell r="D11">
            <v>0</v>
          </cell>
          <cell r="E11">
            <v>5</v>
          </cell>
          <cell r="F11">
            <v>0</v>
          </cell>
        </row>
        <row r="12">
          <cell r="B12" t="str">
            <v>CVZ5G22</v>
          </cell>
          <cell r="C12" t="str">
            <v>VALDECI COELHO</v>
          </cell>
          <cell r="D12">
            <v>0</v>
          </cell>
          <cell r="E12">
            <v>4</v>
          </cell>
          <cell r="F12">
            <v>0</v>
          </cell>
        </row>
        <row r="13">
          <cell r="B13" t="str">
            <v>GMS5D35</v>
          </cell>
          <cell r="C13" t="str">
            <v>DIOGO APARECIDO DE ARRUDA PINTO</v>
          </cell>
          <cell r="D13">
            <v>0</v>
          </cell>
          <cell r="E13">
            <v>5</v>
          </cell>
          <cell r="F13">
            <v>0</v>
          </cell>
        </row>
        <row r="14">
          <cell r="B14" t="str">
            <v>GOO3D69</v>
          </cell>
          <cell r="C14" t="str">
            <v>LEANDRO SANTOS SOUZA</v>
          </cell>
          <cell r="D14">
            <v>0</v>
          </cell>
          <cell r="E14">
            <v>7</v>
          </cell>
          <cell r="F14">
            <v>0</v>
          </cell>
        </row>
        <row r="15">
          <cell r="B15" t="str">
            <v>GPF2G59</v>
          </cell>
          <cell r="C15" t="str">
            <v>MARCELO STALONE SANTOS SILVA</v>
          </cell>
          <cell r="D15">
            <v>0</v>
          </cell>
          <cell r="E15">
            <v>2</v>
          </cell>
          <cell r="F15">
            <v>1</v>
          </cell>
        </row>
        <row r="16">
          <cell r="B16" t="str">
            <v>GQQ1E68</v>
          </cell>
          <cell r="C16" t="str">
            <v>EDUARDO MARQUES DOS SANTOS</v>
          </cell>
          <cell r="D16">
            <v>2501.02</v>
          </cell>
          <cell r="E16">
            <v>9</v>
          </cell>
          <cell r="F16">
            <v>2</v>
          </cell>
        </row>
        <row r="17">
          <cell r="B17" t="str">
            <v>HOZ8648</v>
          </cell>
          <cell r="C17" t="str">
            <v>JOSE MARIA OLIVEIRA SOUZA</v>
          </cell>
          <cell r="D17">
            <v>0</v>
          </cell>
          <cell r="E17">
            <v>15</v>
          </cell>
          <cell r="F17">
            <v>0</v>
          </cell>
        </row>
        <row r="18">
          <cell r="B18" t="str">
            <v>HQR3G22</v>
          </cell>
          <cell r="C18" t="str">
            <v>LAERCIO MENDES DA SILVA</v>
          </cell>
          <cell r="D18">
            <v>1200</v>
          </cell>
          <cell r="E18">
            <v>15</v>
          </cell>
          <cell r="F18">
            <v>0</v>
          </cell>
        </row>
        <row r="19">
          <cell r="B19" t="str">
            <v>JFE5578</v>
          </cell>
          <cell r="C19" t="str">
            <v>RIVALDO SEVERIANO DO NORTE</v>
          </cell>
          <cell r="D19">
            <v>0</v>
          </cell>
          <cell r="E19">
            <v>4</v>
          </cell>
          <cell r="F19">
            <v>0</v>
          </cell>
        </row>
        <row r="20">
          <cell r="B20" t="str">
            <v>JYB5005</v>
          </cell>
          <cell r="C20" t="str">
            <v>ROSENO SOARES NETO</v>
          </cell>
          <cell r="D20">
            <v>2204</v>
          </cell>
          <cell r="E20">
            <v>8</v>
          </cell>
          <cell r="F20">
            <v>12</v>
          </cell>
        </row>
        <row r="21">
          <cell r="B21" t="str">
            <v>JYC9C40</v>
          </cell>
          <cell r="C21" t="str">
            <v>DANIEL FERREIRA DA COSTA</v>
          </cell>
          <cell r="D21">
            <v>0</v>
          </cell>
          <cell r="E21">
            <v>7</v>
          </cell>
          <cell r="F21">
            <v>3</v>
          </cell>
        </row>
        <row r="22">
          <cell r="B22" t="str">
            <v>JYS3216</v>
          </cell>
          <cell r="C22" t="str">
            <v>HISAHO WATANABE</v>
          </cell>
          <cell r="D22">
            <v>0</v>
          </cell>
          <cell r="E22">
            <v>0</v>
          </cell>
          <cell r="F22">
            <v>5</v>
          </cell>
        </row>
        <row r="23">
          <cell r="B23" t="str">
            <v>JZH8887</v>
          </cell>
          <cell r="C23" t="str">
            <v>LAILSON DE SOUZA SILVA</v>
          </cell>
          <cell r="D23">
            <v>0</v>
          </cell>
          <cell r="E23">
            <v>0</v>
          </cell>
          <cell r="F23">
            <v>3</v>
          </cell>
        </row>
        <row r="24">
          <cell r="B24" t="str">
            <v>JZY6J93</v>
          </cell>
          <cell r="C24" t="str">
            <v>ANTONIO CARLOS DA SILVA</v>
          </cell>
          <cell r="D24">
            <v>420</v>
          </cell>
          <cell r="E24">
            <v>8</v>
          </cell>
          <cell r="F24">
            <v>5</v>
          </cell>
        </row>
        <row r="25">
          <cell r="B25" t="str">
            <v>KAA4005</v>
          </cell>
          <cell r="C25" t="str">
            <v>STEFANO RODRIGO TORRES DE SOUZA</v>
          </cell>
          <cell r="D25">
            <v>0</v>
          </cell>
          <cell r="E25">
            <v>6</v>
          </cell>
          <cell r="F25">
            <v>1</v>
          </cell>
        </row>
        <row r="26">
          <cell r="B26" t="str">
            <v>KAB9995</v>
          </cell>
          <cell r="C26" t="str">
            <v>RIDER SERGIO</v>
          </cell>
          <cell r="D26">
            <v>0</v>
          </cell>
          <cell r="E26">
            <v>6</v>
          </cell>
          <cell r="F26">
            <v>1</v>
          </cell>
        </row>
        <row r="27">
          <cell r="B27" t="str">
            <v>KAN1C84</v>
          </cell>
          <cell r="C27" t="str">
            <v>JONAS BARROSO FILHO</v>
          </cell>
          <cell r="D27">
            <v>0</v>
          </cell>
          <cell r="E27">
            <v>9</v>
          </cell>
          <cell r="F27">
            <v>3</v>
          </cell>
        </row>
        <row r="28">
          <cell r="B28" t="str">
            <v>KAQ0896</v>
          </cell>
          <cell r="C28" t="str">
            <v>ADAIR JOSE DE LIMA</v>
          </cell>
          <cell r="D28">
            <v>0</v>
          </cell>
          <cell r="E28">
            <v>2</v>
          </cell>
          <cell r="F28">
            <v>1</v>
          </cell>
        </row>
        <row r="29">
          <cell r="B29" t="str">
            <v>KAQ5295</v>
          </cell>
          <cell r="C29" t="str">
            <v>LUIZ RODRIGO FIGUEIREDO MARQUES</v>
          </cell>
          <cell r="D29">
            <v>0</v>
          </cell>
          <cell r="E29">
            <v>3</v>
          </cell>
          <cell r="F29">
            <v>0</v>
          </cell>
        </row>
        <row r="30">
          <cell r="B30" t="str">
            <v>KCM8B08</v>
          </cell>
          <cell r="C30" t="str">
            <v>EDER ARAUJO DE ALMEIDA</v>
          </cell>
          <cell r="D30">
            <v>1659</v>
          </cell>
          <cell r="E30">
            <v>9</v>
          </cell>
          <cell r="F30">
            <v>0</v>
          </cell>
        </row>
        <row r="31">
          <cell r="B31" t="str">
            <v>KMM4443</v>
          </cell>
          <cell r="C31" t="str">
            <v>JOAO DIOLINO DIAS</v>
          </cell>
          <cell r="D31">
            <v>5</v>
          </cell>
          <cell r="E31">
            <v>0</v>
          </cell>
          <cell r="F31">
            <v>13</v>
          </cell>
        </row>
        <row r="32">
          <cell r="B32" t="str">
            <v>KVB5H68</v>
          </cell>
          <cell r="C32" t="str">
            <v>ELINTON GONCALVES BARCELO</v>
          </cell>
          <cell r="D32">
            <v>0</v>
          </cell>
          <cell r="E32">
            <v>2</v>
          </cell>
          <cell r="F32">
            <v>0</v>
          </cell>
        </row>
        <row r="33">
          <cell r="B33" t="str">
            <v>LAF9C37</v>
          </cell>
          <cell r="C33" t="str">
            <v>WALTER BOM DESPACHO RODRIGUES</v>
          </cell>
          <cell r="D33">
            <v>0</v>
          </cell>
          <cell r="E33">
            <v>10</v>
          </cell>
          <cell r="F33">
            <v>6</v>
          </cell>
        </row>
        <row r="34">
          <cell r="B34" t="str">
            <v>MRG3G61</v>
          </cell>
          <cell r="C34" t="str">
            <v>ANTONIO CARLOS DE MORAIS</v>
          </cell>
          <cell r="D34">
            <v>10538</v>
          </cell>
          <cell r="E34">
            <v>3</v>
          </cell>
          <cell r="F34">
            <v>6</v>
          </cell>
        </row>
        <row r="35">
          <cell r="B35" t="str">
            <v>MVT2B66</v>
          </cell>
          <cell r="C35" t="str">
            <v>JOSE RODRIGUES FILHO</v>
          </cell>
          <cell r="D35">
            <v>0</v>
          </cell>
          <cell r="E35">
            <v>3</v>
          </cell>
          <cell r="F35">
            <v>0</v>
          </cell>
        </row>
        <row r="36">
          <cell r="B36" t="str">
            <v>NJB5320</v>
          </cell>
          <cell r="C36" t="str">
            <v>ARI JOSE DA SILVA</v>
          </cell>
          <cell r="D36">
            <v>0</v>
          </cell>
          <cell r="E36">
            <v>2</v>
          </cell>
          <cell r="F36">
            <v>0</v>
          </cell>
        </row>
        <row r="37">
          <cell r="B37" t="str">
            <v>NJG1D79</v>
          </cell>
          <cell r="C37" t="str">
            <v>EMERSON SANTANA DA COSTA</v>
          </cell>
          <cell r="D37">
            <v>379.6</v>
          </cell>
          <cell r="E37">
            <v>8</v>
          </cell>
          <cell r="F37">
            <v>0</v>
          </cell>
        </row>
        <row r="38">
          <cell r="B38" t="str">
            <v>NJH2F53</v>
          </cell>
          <cell r="C38" t="str">
            <v>ANANIAS PEREIRA DOS SANTOS</v>
          </cell>
          <cell r="D38">
            <v>0</v>
          </cell>
          <cell r="E38">
            <v>11</v>
          </cell>
          <cell r="F38">
            <v>0</v>
          </cell>
        </row>
        <row r="39">
          <cell r="B39" t="str">
            <v>NJK5024</v>
          </cell>
          <cell r="C39" t="str">
            <v>ALCIBENE JOSE DA COSTA</v>
          </cell>
          <cell r="D39">
            <v>0</v>
          </cell>
          <cell r="E39">
            <v>3</v>
          </cell>
          <cell r="F39">
            <v>0</v>
          </cell>
        </row>
        <row r="40">
          <cell r="B40" t="str">
            <v>NPJ6329</v>
          </cell>
          <cell r="C40" t="str">
            <v>LEANDRO MACHADO SALVADOR</v>
          </cell>
          <cell r="D40">
            <v>0</v>
          </cell>
          <cell r="E40">
            <v>5</v>
          </cell>
          <cell r="F40">
            <v>2</v>
          </cell>
        </row>
        <row r="41">
          <cell r="B41" t="str">
            <v>NTZ5836</v>
          </cell>
          <cell r="C41" t="str">
            <v>JHONY FERNANDO FERREIRA RODRIGUES</v>
          </cell>
          <cell r="D41">
            <v>400</v>
          </cell>
          <cell r="E41">
            <v>7</v>
          </cell>
          <cell r="F41">
            <v>0</v>
          </cell>
        </row>
        <row r="42">
          <cell r="B42" t="str">
            <v>NTZ7260</v>
          </cell>
          <cell r="C42" t="str">
            <v>BENEDITO DA GUIA PEREIRA DA SILVA</v>
          </cell>
          <cell r="D42">
            <v>0</v>
          </cell>
          <cell r="E42">
            <v>1</v>
          </cell>
          <cell r="F42">
            <v>0</v>
          </cell>
        </row>
        <row r="43">
          <cell r="B43" t="str">
            <v>NUE6509</v>
          </cell>
          <cell r="C43" t="str">
            <v>FABIO PEREIRA DA MATA</v>
          </cell>
          <cell r="D43">
            <v>100</v>
          </cell>
          <cell r="E43">
            <v>7</v>
          </cell>
          <cell r="F43">
            <v>4</v>
          </cell>
        </row>
        <row r="44">
          <cell r="B44" t="str">
            <v>NUF4132</v>
          </cell>
          <cell r="C44" t="str">
            <v>JOILSON TEIXEIRA PEREIRA PASSOS</v>
          </cell>
          <cell r="D44">
            <v>0</v>
          </cell>
          <cell r="E44">
            <v>2</v>
          </cell>
          <cell r="F44">
            <v>0</v>
          </cell>
        </row>
        <row r="45">
          <cell r="B45" t="str">
            <v>OBJ7D66</v>
          </cell>
          <cell r="C45" t="str">
            <v>SANDRO CORREIA DOS SANTOS</v>
          </cell>
          <cell r="D45">
            <v>539.46</v>
          </cell>
          <cell r="E45">
            <v>5</v>
          </cell>
          <cell r="F45">
            <v>5</v>
          </cell>
        </row>
        <row r="46">
          <cell r="B46" t="str">
            <v>OBL4792</v>
          </cell>
          <cell r="C46" t="str">
            <v>BENEDITO FRANCISCO DE CAMPOS</v>
          </cell>
          <cell r="D46">
            <v>198</v>
          </cell>
          <cell r="E46">
            <v>4</v>
          </cell>
          <cell r="F46">
            <v>0</v>
          </cell>
        </row>
        <row r="47">
          <cell r="B47" t="str">
            <v>OBL4842</v>
          </cell>
          <cell r="C47" t="str">
            <v>WILLINELSON OLIVEIRA DE ARRUDA</v>
          </cell>
          <cell r="D47">
            <v>0</v>
          </cell>
          <cell r="E47">
            <v>3</v>
          </cell>
          <cell r="F47">
            <v>0</v>
          </cell>
        </row>
        <row r="48">
          <cell r="B48" t="str">
            <v>OBL4962</v>
          </cell>
          <cell r="C48" t="str">
            <v>JULIO CEZAR DE MORAIS</v>
          </cell>
          <cell r="D48">
            <v>0</v>
          </cell>
          <cell r="E48">
            <v>7</v>
          </cell>
          <cell r="F48">
            <v>2</v>
          </cell>
        </row>
        <row r="49">
          <cell r="B49" t="str">
            <v>PWB7J33</v>
          </cell>
          <cell r="C49" t="str">
            <v>JUAREZ PEREIRA DA SILVA</v>
          </cell>
          <cell r="D49">
            <v>300</v>
          </cell>
          <cell r="E49">
            <v>16</v>
          </cell>
          <cell r="F49">
            <v>0</v>
          </cell>
        </row>
        <row r="50">
          <cell r="B50" t="str">
            <v>QBA2D74</v>
          </cell>
          <cell r="C50" t="str">
            <v>DANIEL DA SILVA DE SOUZA</v>
          </cell>
          <cell r="D50">
            <v>5227.04</v>
          </cell>
          <cell r="E50">
            <v>19</v>
          </cell>
          <cell r="F50">
            <v>0</v>
          </cell>
        </row>
        <row r="51">
          <cell r="B51" t="str">
            <v>QBZ4D78</v>
          </cell>
          <cell r="C51" t="str">
            <v>JOILSON DE JESUS</v>
          </cell>
          <cell r="D51">
            <v>4600</v>
          </cell>
          <cell r="E51">
            <v>17</v>
          </cell>
          <cell r="F51">
            <v>5</v>
          </cell>
        </row>
        <row r="52">
          <cell r="B52" t="str">
            <v>QCG9119</v>
          </cell>
          <cell r="C52" t="str">
            <v>JULIO CESAR DA SILVA</v>
          </cell>
          <cell r="D52">
            <v>0</v>
          </cell>
          <cell r="E52">
            <v>3</v>
          </cell>
          <cell r="F52">
            <v>4</v>
          </cell>
        </row>
        <row r="53">
          <cell r="B53" t="str">
            <v>QCR4511</v>
          </cell>
          <cell r="C53" t="str">
            <v>RUBEN IGNACIO MAYORGA HERNANDEZ</v>
          </cell>
          <cell r="D53">
            <v>70518</v>
          </cell>
          <cell r="E53">
            <v>2</v>
          </cell>
          <cell r="F53">
            <v>0</v>
          </cell>
        </row>
        <row r="54">
          <cell r="B54" t="str">
            <v>QCR4521</v>
          </cell>
          <cell r="C54" t="str">
            <v>ELIEZER ASSUNCAO DE SOUZA</v>
          </cell>
          <cell r="D54">
            <v>1285</v>
          </cell>
          <cell r="E54">
            <v>3</v>
          </cell>
          <cell r="F54">
            <v>2</v>
          </cell>
        </row>
        <row r="55">
          <cell r="B55" t="str">
            <v>QCR4551</v>
          </cell>
          <cell r="C55" t="str">
            <v>MARLON WARKER CAPELAO DE ARRUDA</v>
          </cell>
          <cell r="D55">
            <v>0</v>
          </cell>
          <cell r="E55">
            <v>7</v>
          </cell>
          <cell r="F55">
            <v>0</v>
          </cell>
        </row>
        <row r="56">
          <cell r="B56" t="str">
            <v>RAP1J28</v>
          </cell>
          <cell r="C56" t="str">
            <v>NIVALDO ROSA SILVA</v>
          </cell>
          <cell r="D56">
            <v>0</v>
          </cell>
          <cell r="E56">
            <v>4</v>
          </cell>
          <cell r="F56">
            <v>4</v>
          </cell>
        </row>
        <row r="57">
          <cell r="B57" t="str">
            <v>RAT6F98</v>
          </cell>
          <cell r="C57" t="str">
            <v>ENIO BATISTA DE SOUZA NETO</v>
          </cell>
          <cell r="D57">
            <v>0</v>
          </cell>
          <cell r="E57">
            <v>3</v>
          </cell>
          <cell r="F57">
            <v>1</v>
          </cell>
        </row>
        <row r="58">
          <cell r="B58" t="str">
            <v>RAZ5H51</v>
          </cell>
          <cell r="C58" t="str">
            <v>VANDERSON PEREIRA VIANA</v>
          </cell>
          <cell r="D58">
            <v>300</v>
          </cell>
          <cell r="E58">
            <v>7</v>
          </cell>
          <cell r="F58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workbookViewId="0">
      <selection activeCell="M17" sqref="M17"/>
    </sheetView>
  </sheetViews>
  <sheetFormatPr defaultRowHeight="15" x14ac:dyDescent="0.25"/>
  <cols>
    <col min="1" max="1" width="10.42578125" bestFit="1" customWidth="1"/>
    <col min="2" max="2" width="41.140625" customWidth="1"/>
    <col min="3" max="3" width="8.5703125" bestFit="1" customWidth="1"/>
    <col min="4" max="4" width="11.85546875" bestFit="1" customWidth="1"/>
    <col min="5" max="5" width="8.85546875" bestFit="1" customWidth="1"/>
    <col min="6" max="6" width="5.42578125" bestFit="1" customWidth="1"/>
    <col min="7" max="7" width="12.7109375" bestFit="1" customWidth="1"/>
    <col min="8" max="8" width="11.85546875" bestFit="1" customWidth="1"/>
    <col min="9" max="9" width="6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46182</v>
      </c>
      <c r="B2" s="2" t="s">
        <v>9</v>
      </c>
      <c r="C2" s="2" t="str">
        <f t="shared" ref="C2:C33" si="0">IF(F2&lt;=0,"Não",IF(F2&gt;=1,"Sim"))</f>
        <v>Sim</v>
      </c>
      <c r="D2" s="2">
        <f>IFERROR(VLOOKUP(B2,[1]Planilha1!$B$2:$F$58,4,FALSE),0)</f>
        <v>8</v>
      </c>
      <c r="E2" s="2">
        <f>IFERROR(VLOOKUP(B2,[1]Planilha1!$B$2:$F$58,5,FALSE),0)</f>
        <v>3</v>
      </c>
      <c r="F2" s="2">
        <f t="shared" ref="F2:F33" si="1">D2+E2</f>
        <v>11</v>
      </c>
      <c r="G2" s="2" t="s">
        <v>10</v>
      </c>
      <c r="H2" s="2" t="s">
        <v>10</v>
      </c>
      <c r="I2" s="2">
        <v>1</v>
      </c>
    </row>
    <row r="3" spans="1:9" x14ac:dyDescent="0.25">
      <c r="A3" s="3">
        <v>46182</v>
      </c>
      <c r="B3" s="2" t="s">
        <v>11</v>
      </c>
      <c r="C3" s="2" t="str">
        <f t="shared" si="0"/>
        <v>Sim</v>
      </c>
      <c r="D3" s="2">
        <f>IFERROR(VLOOKUP(B3,[1]Planilha1!$B$2:$F$58,4,FALSE),0)</f>
        <v>8</v>
      </c>
      <c r="E3" s="2">
        <f>IFERROR(VLOOKUP(B3,[1]Planilha1!$B$2:$F$58,5,FALSE),0)</f>
        <v>0</v>
      </c>
      <c r="F3" s="2">
        <f t="shared" si="1"/>
        <v>8</v>
      </c>
      <c r="G3" s="2" t="s">
        <v>10</v>
      </c>
      <c r="H3" s="2" t="s">
        <v>10</v>
      </c>
      <c r="I3" s="2">
        <v>1</v>
      </c>
    </row>
    <row r="4" spans="1:9" x14ac:dyDescent="0.25">
      <c r="A4" s="3">
        <v>46182</v>
      </c>
      <c r="B4" s="2" t="s">
        <v>12</v>
      </c>
      <c r="C4" s="2" t="str">
        <f t="shared" si="0"/>
        <v>Sim</v>
      </c>
      <c r="D4" s="2">
        <f>IFERROR(VLOOKUP(B4,[1]Planilha1!$B$2:$F$58,4,FALSE),0)</f>
        <v>5</v>
      </c>
      <c r="E4" s="2">
        <f>IFERROR(VLOOKUP(B4,[1]Planilha1!$B$2:$F$58,5,FALSE),0)</f>
        <v>1</v>
      </c>
      <c r="F4" s="2">
        <f t="shared" si="1"/>
        <v>6</v>
      </c>
      <c r="G4" s="2" t="s">
        <v>10</v>
      </c>
      <c r="H4" s="2" t="s">
        <v>10</v>
      </c>
      <c r="I4" s="2">
        <v>1</v>
      </c>
    </row>
    <row r="5" spans="1:9" x14ac:dyDescent="0.25">
      <c r="A5" s="3">
        <v>46182</v>
      </c>
      <c r="B5" s="2" t="s">
        <v>13</v>
      </c>
      <c r="C5" s="2" t="str">
        <f t="shared" si="0"/>
        <v>Sim</v>
      </c>
      <c r="D5" s="2">
        <f>IFERROR(VLOOKUP(B5,[1]Planilha1!$B$2:$F$58,4,FALSE),0)</f>
        <v>15</v>
      </c>
      <c r="E5" s="2">
        <f>IFERROR(VLOOKUP(B5,[1]Planilha1!$B$2:$F$58,5,FALSE),0)</f>
        <v>7</v>
      </c>
      <c r="F5" s="2">
        <f t="shared" si="1"/>
        <v>22</v>
      </c>
      <c r="G5" s="2" t="s">
        <v>10</v>
      </c>
      <c r="H5" s="2" t="s">
        <v>10</v>
      </c>
      <c r="I5" s="2"/>
    </row>
    <row r="6" spans="1:9" x14ac:dyDescent="0.25">
      <c r="A6" s="3">
        <v>46182</v>
      </c>
      <c r="B6" s="2" t="s">
        <v>14</v>
      </c>
      <c r="C6" s="2" t="str">
        <f t="shared" si="0"/>
        <v>Sim</v>
      </c>
      <c r="D6" s="2">
        <f>IFERROR(VLOOKUP(B6,[1]Planilha1!$B$2:$F$58,4,FALSE),0)</f>
        <v>5</v>
      </c>
      <c r="E6" s="2">
        <f>IFERROR(VLOOKUP(B6,[1]Planilha1!$B$2:$F$58,5,FALSE),0)</f>
        <v>1</v>
      </c>
      <c r="F6" s="2">
        <f t="shared" si="1"/>
        <v>6</v>
      </c>
      <c r="G6" s="2" t="s">
        <v>10</v>
      </c>
      <c r="H6" s="2" t="s">
        <v>10</v>
      </c>
      <c r="I6" s="2"/>
    </row>
    <row r="7" spans="1:9" x14ac:dyDescent="0.25">
      <c r="A7" s="3">
        <v>46182</v>
      </c>
      <c r="B7" s="2" t="s">
        <v>15</v>
      </c>
      <c r="C7" s="2" t="str">
        <f t="shared" si="0"/>
        <v>Sim</v>
      </c>
      <c r="D7" s="2">
        <f>IFERROR(VLOOKUP(B7,[1]Planilha1!$B$2:$F$58,4,FALSE),0)</f>
        <v>19</v>
      </c>
      <c r="E7" s="2">
        <f>IFERROR(VLOOKUP(B7,[1]Planilha1!$B$2:$F$58,5,FALSE),0)</f>
        <v>0</v>
      </c>
      <c r="F7" s="2">
        <f t="shared" si="1"/>
        <v>19</v>
      </c>
      <c r="G7" s="2" t="s">
        <v>10</v>
      </c>
      <c r="H7" s="2" t="s">
        <v>10</v>
      </c>
      <c r="I7" s="2"/>
    </row>
    <row r="8" spans="1:9" x14ac:dyDescent="0.25">
      <c r="A8" s="3">
        <v>46182</v>
      </c>
      <c r="B8" s="2" t="s">
        <v>16</v>
      </c>
      <c r="C8" s="2" t="str">
        <f t="shared" si="0"/>
        <v>Sim</v>
      </c>
      <c r="D8" s="2">
        <f>IFERROR(VLOOKUP(B8,[1]Planilha1!$B$2:$F$58,4,FALSE),0)</f>
        <v>4</v>
      </c>
      <c r="E8" s="2">
        <f>IFERROR(VLOOKUP(B8,[1]Planilha1!$B$2:$F$58,5,FALSE),0)</f>
        <v>0</v>
      </c>
      <c r="F8" s="2">
        <f t="shared" si="1"/>
        <v>4</v>
      </c>
      <c r="G8" s="2" t="s">
        <v>10</v>
      </c>
      <c r="H8" s="2" t="s">
        <v>10</v>
      </c>
      <c r="I8" s="2"/>
    </row>
    <row r="9" spans="1:9" x14ac:dyDescent="0.25">
      <c r="A9" s="3">
        <v>46182</v>
      </c>
      <c r="B9" s="2" t="s">
        <v>17</v>
      </c>
      <c r="C9" s="2" t="str">
        <f t="shared" si="0"/>
        <v>Sim</v>
      </c>
      <c r="D9" s="2">
        <f>IFERROR(VLOOKUP(B9,[1]Planilha1!$B$2:$F$58,4,FALSE),0)</f>
        <v>3</v>
      </c>
      <c r="E9" s="2">
        <f>IFERROR(VLOOKUP(B9,[1]Planilha1!$B$2:$F$58,5,FALSE),0)</f>
        <v>0</v>
      </c>
      <c r="F9" s="2">
        <f t="shared" si="1"/>
        <v>3</v>
      </c>
      <c r="G9" s="2" t="s">
        <v>10</v>
      </c>
      <c r="H9" s="2" t="s">
        <v>10</v>
      </c>
      <c r="I9" s="2"/>
    </row>
    <row r="10" spans="1:9" x14ac:dyDescent="0.25">
      <c r="A10" s="3">
        <v>46182</v>
      </c>
      <c r="B10" s="2" t="s">
        <v>18</v>
      </c>
      <c r="C10" s="2" t="str">
        <f t="shared" si="0"/>
        <v>Sim</v>
      </c>
      <c r="D10" s="2">
        <f>IFERROR(VLOOKUP(B10,[1]Planilha1!$B$2:$F$58,4,FALSE),0)</f>
        <v>5</v>
      </c>
      <c r="E10" s="2">
        <f>IFERROR(VLOOKUP(B10,[1]Planilha1!$B$2:$F$58,5,FALSE),0)</f>
        <v>0</v>
      </c>
      <c r="F10" s="2">
        <f t="shared" si="1"/>
        <v>5</v>
      </c>
      <c r="G10" s="2" t="s">
        <v>10</v>
      </c>
      <c r="H10" s="2" t="s">
        <v>10</v>
      </c>
      <c r="I10" s="2"/>
    </row>
    <row r="11" spans="1:9" x14ac:dyDescent="0.25">
      <c r="A11" s="3">
        <v>46182</v>
      </c>
      <c r="B11" s="2" t="s">
        <v>19</v>
      </c>
      <c r="C11" s="2" t="str">
        <f t="shared" si="0"/>
        <v>Sim</v>
      </c>
      <c r="D11" s="2">
        <f>IFERROR(VLOOKUP(B11,[1]Planilha1!$B$2:$F$58,4,FALSE),0)</f>
        <v>4</v>
      </c>
      <c r="E11" s="2">
        <f>IFERROR(VLOOKUP(B11,[1]Planilha1!$B$2:$F$58,5,FALSE),0)</f>
        <v>0</v>
      </c>
      <c r="F11" s="2">
        <f t="shared" si="1"/>
        <v>4</v>
      </c>
      <c r="G11" s="2" t="s">
        <v>10</v>
      </c>
      <c r="H11" s="2" t="s">
        <v>10</v>
      </c>
      <c r="I11" s="2"/>
    </row>
    <row r="12" spans="1:9" x14ac:dyDescent="0.25">
      <c r="A12" s="3">
        <v>46182</v>
      </c>
      <c r="B12" s="2" t="s">
        <v>20</v>
      </c>
      <c r="C12" s="2" t="str">
        <f t="shared" si="0"/>
        <v>Sim</v>
      </c>
      <c r="D12" s="2">
        <f>IFERROR(VLOOKUP(B12,[1]Planilha1!$B$2:$F$58,4,FALSE),0)</f>
        <v>5</v>
      </c>
      <c r="E12" s="2">
        <f>IFERROR(VLOOKUP(B12,[1]Planilha1!$B$2:$F$58,5,FALSE),0)</f>
        <v>0</v>
      </c>
      <c r="F12" s="2">
        <f t="shared" si="1"/>
        <v>5</v>
      </c>
      <c r="G12" s="2" t="s">
        <v>10</v>
      </c>
      <c r="H12" s="2" t="s">
        <v>10</v>
      </c>
      <c r="I12" s="2"/>
    </row>
    <row r="13" spans="1:9" x14ac:dyDescent="0.25">
      <c r="A13" s="3">
        <v>46182</v>
      </c>
      <c r="B13" s="2" t="s">
        <v>21</v>
      </c>
      <c r="C13" s="2" t="str">
        <f t="shared" si="0"/>
        <v>Sim</v>
      </c>
      <c r="D13" s="2">
        <f>IFERROR(VLOOKUP(B13,[1]Planilha1!$B$2:$F$58,4,FALSE),0)</f>
        <v>7</v>
      </c>
      <c r="E13" s="2">
        <f>IFERROR(VLOOKUP(B13,[1]Planilha1!$B$2:$F$58,5,FALSE),0)</f>
        <v>0</v>
      </c>
      <c r="F13" s="2">
        <f t="shared" si="1"/>
        <v>7</v>
      </c>
      <c r="G13" s="2" t="s">
        <v>10</v>
      </c>
      <c r="H13" s="2" t="s">
        <v>10</v>
      </c>
      <c r="I13" s="2"/>
    </row>
    <row r="14" spans="1:9" x14ac:dyDescent="0.25">
      <c r="A14" s="3">
        <v>46182</v>
      </c>
      <c r="B14" s="2" t="s">
        <v>22</v>
      </c>
      <c r="C14" s="2" t="str">
        <f t="shared" si="0"/>
        <v>Sim</v>
      </c>
      <c r="D14" s="2">
        <f>IFERROR(VLOOKUP(B14,[1]Planilha1!$B$2:$F$58,4,FALSE),0)</f>
        <v>2</v>
      </c>
      <c r="E14" s="2">
        <f>IFERROR(VLOOKUP(B14,[1]Planilha1!$B$2:$F$58,5,FALSE),0)</f>
        <v>1</v>
      </c>
      <c r="F14" s="2">
        <f t="shared" si="1"/>
        <v>3</v>
      </c>
      <c r="G14" s="2" t="s">
        <v>10</v>
      </c>
      <c r="H14" s="2" t="s">
        <v>10</v>
      </c>
      <c r="I14" s="2"/>
    </row>
    <row r="15" spans="1:9" x14ac:dyDescent="0.25">
      <c r="A15" s="3">
        <v>46182</v>
      </c>
      <c r="B15" s="2" t="s">
        <v>23</v>
      </c>
      <c r="C15" s="2" t="str">
        <f t="shared" si="0"/>
        <v>Sim</v>
      </c>
      <c r="D15" s="2">
        <f>IFERROR(VLOOKUP(B15,[1]Planilha1!$B$2:$F$58,4,FALSE),0)</f>
        <v>9</v>
      </c>
      <c r="E15" s="2">
        <f>IFERROR(VLOOKUP(B15,[1]Planilha1!$B$2:$F$58,5,FALSE),0)</f>
        <v>2</v>
      </c>
      <c r="F15" s="2">
        <f t="shared" si="1"/>
        <v>11</v>
      </c>
      <c r="G15" s="2" t="s">
        <v>10</v>
      </c>
      <c r="H15" s="2" t="s">
        <v>10</v>
      </c>
      <c r="I15" s="2"/>
    </row>
    <row r="16" spans="1:9" x14ac:dyDescent="0.25">
      <c r="A16" s="3">
        <v>46182</v>
      </c>
      <c r="B16" s="2" t="s">
        <v>24</v>
      </c>
      <c r="C16" s="2" t="str">
        <f t="shared" si="0"/>
        <v>Sim</v>
      </c>
      <c r="D16" s="2">
        <f>IFERROR(VLOOKUP(B16,[1]Planilha1!$B$2:$F$58,4,FALSE),0)</f>
        <v>15</v>
      </c>
      <c r="E16" s="2">
        <f>IFERROR(VLOOKUP(B16,[1]Planilha1!$B$2:$F$58,5,FALSE),0)</f>
        <v>0</v>
      </c>
      <c r="F16" s="2">
        <f t="shared" si="1"/>
        <v>15</v>
      </c>
      <c r="G16" s="2" t="s">
        <v>10</v>
      </c>
      <c r="H16" s="2" t="s">
        <v>10</v>
      </c>
      <c r="I16" s="2"/>
    </row>
    <row r="17" spans="1:9" x14ac:dyDescent="0.25">
      <c r="A17" s="3">
        <v>46182</v>
      </c>
      <c r="B17" s="2" t="s">
        <v>25</v>
      </c>
      <c r="C17" s="2" t="str">
        <f t="shared" si="0"/>
        <v>Sim</v>
      </c>
      <c r="D17" s="2">
        <f>IFERROR(VLOOKUP(B17,[1]Planilha1!$B$2:$F$58,4,FALSE),0)</f>
        <v>15</v>
      </c>
      <c r="E17" s="2">
        <f>IFERROR(VLOOKUP(B17,[1]Planilha1!$B$2:$F$58,5,FALSE),0)</f>
        <v>0</v>
      </c>
      <c r="F17" s="2">
        <f t="shared" si="1"/>
        <v>15</v>
      </c>
      <c r="G17" s="2" t="s">
        <v>10</v>
      </c>
      <c r="H17" s="2" t="s">
        <v>10</v>
      </c>
      <c r="I17" s="2"/>
    </row>
    <row r="18" spans="1:9" x14ac:dyDescent="0.25">
      <c r="A18" s="3">
        <v>46182</v>
      </c>
      <c r="B18" s="2" t="s">
        <v>26</v>
      </c>
      <c r="C18" s="2" t="str">
        <f t="shared" si="0"/>
        <v>Sim</v>
      </c>
      <c r="D18" s="2">
        <f>IFERROR(VLOOKUP(B18,[1]Planilha1!$B$2:$F$58,4,FALSE),0)</f>
        <v>4</v>
      </c>
      <c r="E18" s="2">
        <f>IFERROR(VLOOKUP(B18,[1]Planilha1!$B$2:$F$58,5,FALSE),0)</f>
        <v>0</v>
      </c>
      <c r="F18" s="2">
        <f t="shared" si="1"/>
        <v>4</v>
      </c>
      <c r="G18" s="2" t="s">
        <v>10</v>
      </c>
      <c r="H18" s="2" t="s">
        <v>10</v>
      </c>
      <c r="I18" s="2"/>
    </row>
    <row r="19" spans="1:9" x14ac:dyDescent="0.25">
      <c r="A19" s="3">
        <v>46182</v>
      </c>
      <c r="B19" s="2" t="s">
        <v>27</v>
      </c>
      <c r="C19" s="2" t="str">
        <f t="shared" si="0"/>
        <v>Sim</v>
      </c>
      <c r="D19" s="2">
        <f>IFERROR(VLOOKUP(B19,[1]Planilha1!$B$2:$F$58,4,FALSE),0)</f>
        <v>8</v>
      </c>
      <c r="E19" s="2">
        <f>IFERROR(VLOOKUP(B19,[1]Planilha1!$B$2:$F$58,5,FALSE),0)</f>
        <v>12</v>
      </c>
      <c r="F19" s="2">
        <f t="shared" si="1"/>
        <v>20</v>
      </c>
      <c r="G19" s="2" t="s">
        <v>10</v>
      </c>
      <c r="H19" s="2" t="s">
        <v>10</v>
      </c>
      <c r="I19" s="2"/>
    </row>
    <row r="20" spans="1:9" x14ac:dyDescent="0.25">
      <c r="A20" s="3">
        <v>46182</v>
      </c>
      <c r="B20" s="2" t="s">
        <v>28</v>
      </c>
      <c r="C20" s="2" t="str">
        <f t="shared" si="0"/>
        <v>Sim</v>
      </c>
      <c r="D20" s="2">
        <f>IFERROR(VLOOKUP(B20,[1]Planilha1!$B$2:$F$58,4,FALSE),0)</f>
        <v>7</v>
      </c>
      <c r="E20" s="2">
        <f>IFERROR(VLOOKUP(B20,[1]Planilha1!$B$2:$F$58,5,FALSE),0)</f>
        <v>3</v>
      </c>
      <c r="F20" s="2">
        <f t="shared" si="1"/>
        <v>10</v>
      </c>
      <c r="G20" s="2" t="s">
        <v>10</v>
      </c>
      <c r="H20" s="2" t="s">
        <v>10</v>
      </c>
      <c r="I20" s="2"/>
    </row>
    <row r="21" spans="1:9" x14ac:dyDescent="0.25">
      <c r="A21" s="3">
        <v>46182</v>
      </c>
      <c r="B21" s="2" t="s">
        <v>29</v>
      </c>
      <c r="C21" s="2" t="str">
        <f t="shared" si="0"/>
        <v>Sim</v>
      </c>
      <c r="D21" s="2">
        <f>IFERROR(VLOOKUP(B21,[1]Planilha1!$B$2:$F$58,4,FALSE),0)</f>
        <v>0</v>
      </c>
      <c r="E21" s="2">
        <f>IFERROR(VLOOKUP(B21,[1]Planilha1!$B$2:$F$58,5,FALSE),0)</f>
        <v>5</v>
      </c>
      <c r="F21" s="2">
        <f t="shared" si="1"/>
        <v>5</v>
      </c>
      <c r="G21" s="2" t="s">
        <v>10</v>
      </c>
      <c r="H21" s="2" t="s">
        <v>10</v>
      </c>
      <c r="I21" s="2"/>
    </row>
    <row r="22" spans="1:9" x14ac:dyDescent="0.25">
      <c r="A22" s="3">
        <v>46182</v>
      </c>
      <c r="B22" s="2" t="s">
        <v>30</v>
      </c>
      <c r="C22" s="2" t="str">
        <f t="shared" si="0"/>
        <v>Sim</v>
      </c>
      <c r="D22" s="2">
        <f>IFERROR(VLOOKUP(B22,[1]Planilha1!$B$2:$F$58,4,FALSE),0)</f>
        <v>0</v>
      </c>
      <c r="E22" s="2">
        <f>IFERROR(VLOOKUP(B22,[1]Planilha1!$B$2:$F$58,5,FALSE),0)</f>
        <v>3</v>
      </c>
      <c r="F22" s="2">
        <f t="shared" si="1"/>
        <v>3</v>
      </c>
      <c r="G22" s="2" t="s">
        <v>10</v>
      </c>
      <c r="H22" s="2" t="s">
        <v>10</v>
      </c>
      <c r="I22" s="2"/>
    </row>
    <row r="23" spans="1:9" x14ac:dyDescent="0.25">
      <c r="A23" s="3">
        <v>46182</v>
      </c>
      <c r="B23" s="2" t="s">
        <v>31</v>
      </c>
      <c r="C23" s="2" t="str">
        <f t="shared" si="0"/>
        <v>Sim</v>
      </c>
      <c r="D23" s="2">
        <f>IFERROR(VLOOKUP(B23,[1]Planilha1!$B$2:$F$58,4,FALSE),0)</f>
        <v>8</v>
      </c>
      <c r="E23" s="2">
        <f>IFERROR(VLOOKUP(B23,[1]Planilha1!$B$2:$F$58,5,FALSE),0)</f>
        <v>5</v>
      </c>
      <c r="F23" s="2">
        <f t="shared" si="1"/>
        <v>13</v>
      </c>
      <c r="G23" s="2" t="s">
        <v>10</v>
      </c>
      <c r="H23" s="2" t="s">
        <v>10</v>
      </c>
      <c r="I23" s="2"/>
    </row>
    <row r="24" spans="1:9" x14ac:dyDescent="0.25">
      <c r="A24" s="3">
        <v>46182</v>
      </c>
      <c r="B24" s="2" t="s">
        <v>32</v>
      </c>
      <c r="C24" s="2" t="str">
        <f t="shared" si="0"/>
        <v>Sim</v>
      </c>
      <c r="D24" s="2">
        <f>IFERROR(VLOOKUP(B24,[1]Planilha1!$B$2:$F$58,4,FALSE),0)</f>
        <v>6</v>
      </c>
      <c r="E24" s="2">
        <f>IFERROR(VLOOKUP(B24,[1]Planilha1!$B$2:$F$58,5,FALSE),0)</f>
        <v>1</v>
      </c>
      <c r="F24" s="2">
        <f t="shared" si="1"/>
        <v>7</v>
      </c>
      <c r="G24" s="2" t="s">
        <v>10</v>
      </c>
      <c r="H24" s="2" t="s">
        <v>10</v>
      </c>
      <c r="I24" s="2"/>
    </row>
    <row r="25" spans="1:9" x14ac:dyDescent="0.25">
      <c r="A25" s="3">
        <v>46182</v>
      </c>
      <c r="B25" s="2" t="s">
        <v>33</v>
      </c>
      <c r="C25" s="2" t="str">
        <f t="shared" si="0"/>
        <v>Sim</v>
      </c>
      <c r="D25" s="2">
        <f>IFERROR(VLOOKUP(B25,[1]Planilha1!$B$2:$F$58,4,FALSE),0)</f>
        <v>6</v>
      </c>
      <c r="E25" s="2">
        <f>IFERROR(VLOOKUP(B25,[1]Planilha1!$B$2:$F$58,5,FALSE),0)</f>
        <v>1</v>
      </c>
      <c r="F25" s="2">
        <f t="shared" si="1"/>
        <v>7</v>
      </c>
      <c r="G25" s="2" t="s">
        <v>10</v>
      </c>
      <c r="H25" s="2" t="s">
        <v>10</v>
      </c>
      <c r="I25" s="2"/>
    </row>
    <row r="26" spans="1:9" x14ac:dyDescent="0.25">
      <c r="A26" s="3">
        <v>46182</v>
      </c>
      <c r="B26" s="2" t="s">
        <v>34</v>
      </c>
      <c r="C26" s="2" t="str">
        <f t="shared" si="0"/>
        <v>Não</v>
      </c>
      <c r="D26" s="2">
        <f>IFERROR(VLOOKUP(B26,[1]Planilha1!$B$2:$F$58,4,FALSE),0)</f>
        <v>0</v>
      </c>
      <c r="E26" s="2">
        <f>IFERROR(VLOOKUP(B26,[1]Planilha1!$B$2:$F$58,5,FALSE),0)</f>
        <v>0</v>
      </c>
      <c r="F26" s="2">
        <f t="shared" si="1"/>
        <v>0</v>
      </c>
      <c r="G26" s="2" t="s">
        <v>10</v>
      </c>
      <c r="H26" s="2" t="s">
        <v>10</v>
      </c>
      <c r="I26" s="2"/>
    </row>
    <row r="27" spans="1:9" x14ac:dyDescent="0.25">
      <c r="A27" s="3">
        <v>46182</v>
      </c>
      <c r="B27" s="2" t="s">
        <v>35</v>
      </c>
      <c r="C27" s="2" t="str">
        <f t="shared" si="0"/>
        <v>Sim</v>
      </c>
      <c r="D27" s="2">
        <f>IFERROR(VLOOKUP(B27,[1]Planilha1!$B$2:$F$58,4,FALSE),0)</f>
        <v>2</v>
      </c>
      <c r="E27" s="2">
        <f>IFERROR(VLOOKUP(B27,[1]Planilha1!$B$2:$F$58,5,FALSE),0)</f>
        <v>1</v>
      </c>
      <c r="F27" s="2">
        <f t="shared" si="1"/>
        <v>3</v>
      </c>
      <c r="G27" s="2" t="s">
        <v>10</v>
      </c>
      <c r="H27" s="2" t="s">
        <v>10</v>
      </c>
      <c r="I27" s="2"/>
    </row>
    <row r="28" spans="1:9" x14ac:dyDescent="0.25">
      <c r="A28" s="3">
        <v>46182</v>
      </c>
      <c r="B28" s="2" t="s">
        <v>36</v>
      </c>
      <c r="C28" s="2" t="str">
        <f t="shared" si="0"/>
        <v>Sim</v>
      </c>
      <c r="D28" s="2">
        <f>IFERROR(VLOOKUP(B28,[1]Planilha1!$B$2:$F$58,4,FALSE),0)</f>
        <v>3</v>
      </c>
      <c r="E28" s="2">
        <f>IFERROR(VLOOKUP(B28,[1]Planilha1!$B$2:$F$58,5,FALSE),0)</f>
        <v>0</v>
      </c>
      <c r="F28" s="2">
        <f t="shared" si="1"/>
        <v>3</v>
      </c>
      <c r="G28" s="2" t="s">
        <v>10</v>
      </c>
      <c r="H28" s="2" t="s">
        <v>10</v>
      </c>
      <c r="I28" s="2"/>
    </row>
    <row r="29" spans="1:9" x14ac:dyDescent="0.25">
      <c r="A29" s="3">
        <v>46182</v>
      </c>
      <c r="B29" s="2" t="s">
        <v>37</v>
      </c>
      <c r="C29" s="2" t="str">
        <f t="shared" si="0"/>
        <v>Não</v>
      </c>
      <c r="D29" s="2">
        <f>IFERROR(VLOOKUP(B29,[1]Planilha1!$B$2:$F$58,4,FALSE),0)</f>
        <v>0</v>
      </c>
      <c r="E29" s="2">
        <f>IFERROR(VLOOKUP(B29,[1]Planilha1!$B$2:$F$58,5,FALSE),0)</f>
        <v>0</v>
      </c>
      <c r="F29" s="2">
        <f t="shared" si="1"/>
        <v>0</v>
      </c>
      <c r="G29" s="2" t="s">
        <v>10</v>
      </c>
      <c r="H29" s="2" t="s">
        <v>10</v>
      </c>
      <c r="I29" s="2"/>
    </row>
    <row r="30" spans="1:9" x14ac:dyDescent="0.25">
      <c r="A30" s="3">
        <v>46182</v>
      </c>
      <c r="B30" s="2" t="s">
        <v>38</v>
      </c>
      <c r="C30" s="2" t="str">
        <f t="shared" si="0"/>
        <v>Sim</v>
      </c>
      <c r="D30" s="2">
        <f>IFERROR(VLOOKUP(B30,[1]Planilha1!$B$2:$F$58,4,FALSE),0)</f>
        <v>9</v>
      </c>
      <c r="E30" s="2">
        <f>IFERROR(VLOOKUP(B30,[1]Planilha1!$B$2:$F$58,5,FALSE),0)</f>
        <v>0</v>
      </c>
      <c r="F30" s="2">
        <f t="shared" si="1"/>
        <v>9</v>
      </c>
      <c r="G30" s="2" t="s">
        <v>10</v>
      </c>
      <c r="H30" s="2"/>
      <c r="I30" s="2"/>
    </row>
    <row r="31" spans="1:9" x14ac:dyDescent="0.25">
      <c r="A31" s="3">
        <v>46182</v>
      </c>
      <c r="B31" s="2" t="s">
        <v>39</v>
      </c>
      <c r="C31" s="2" t="str">
        <f t="shared" si="0"/>
        <v>Sim</v>
      </c>
      <c r="D31" s="2">
        <f>IFERROR(VLOOKUP(B31,[1]Planilha1!$B$2:$F$58,4,FALSE),0)</f>
        <v>0</v>
      </c>
      <c r="E31" s="2">
        <f>IFERROR(VLOOKUP(B31,[1]Planilha1!$B$2:$F$58,5,FALSE),0)</f>
        <v>13</v>
      </c>
      <c r="F31" s="2">
        <f t="shared" si="1"/>
        <v>13</v>
      </c>
      <c r="G31" s="2" t="s">
        <v>10</v>
      </c>
      <c r="H31" s="2"/>
      <c r="I31" s="2"/>
    </row>
    <row r="32" spans="1:9" x14ac:dyDescent="0.25">
      <c r="A32" s="3">
        <v>46182</v>
      </c>
      <c r="B32" s="2" t="s">
        <v>40</v>
      </c>
      <c r="C32" s="2" t="str">
        <f t="shared" si="0"/>
        <v>Sim</v>
      </c>
      <c r="D32" s="2">
        <f>IFERROR(VLOOKUP(B32,[1]Planilha1!$B$2:$F$58,4,FALSE),0)</f>
        <v>2</v>
      </c>
      <c r="E32" s="2">
        <f>IFERROR(VLOOKUP(B32,[1]Planilha1!$B$2:$F$58,5,FALSE),0)</f>
        <v>0</v>
      </c>
      <c r="F32" s="2">
        <f t="shared" si="1"/>
        <v>2</v>
      </c>
      <c r="G32" s="2" t="s">
        <v>10</v>
      </c>
      <c r="H32" s="2"/>
      <c r="I32" s="2"/>
    </row>
    <row r="33" spans="1:9" x14ac:dyDescent="0.25">
      <c r="A33" s="3">
        <v>46182</v>
      </c>
      <c r="B33" s="2" t="s">
        <v>41</v>
      </c>
      <c r="C33" s="2" t="str">
        <f t="shared" si="0"/>
        <v>Sim</v>
      </c>
      <c r="D33" s="2">
        <f>IFERROR(VLOOKUP(B33,[1]Planilha1!$B$2:$F$58,4,FALSE),0)</f>
        <v>10</v>
      </c>
      <c r="E33" s="2">
        <f>IFERROR(VLOOKUP(B33,[1]Planilha1!$B$2:$F$58,5,FALSE),0)</f>
        <v>6</v>
      </c>
      <c r="F33" s="2">
        <f t="shared" si="1"/>
        <v>16</v>
      </c>
      <c r="G33" s="2" t="s">
        <v>10</v>
      </c>
      <c r="H33" s="2"/>
      <c r="I33" s="2"/>
    </row>
    <row r="34" spans="1:9" x14ac:dyDescent="0.25">
      <c r="A34" s="3">
        <v>46182</v>
      </c>
      <c r="B34" s="2" t="s">
        <v>42</v>
      </c>
      <c r="C34" s="2" t="str">
        <f t="shared" ref="C34:C63" si="2">IF(F34&lt;=0,"Não",IF(F34&gt;=1,"Sim"))</f>
        <v>Sim</v>
      </c>
      <c r="D34" s="2">
        <f>IFERROR(VLOOKUP(B34,[1]Planilha1!$B$2:$F$58,4,FALSE),0)</f>
        <v>3</v>
      </c>
      <c r="E34" s="2">
        <f>IFERROR(VLOOKUP(B34,[1]Planilha1!$B$2:$F$58,5,FALSE),0)</f>
        <v>6</v>
      </c>
      <c r="F34" s="2">
        <f t="shared" ref="F34:F63" si="3">D34+E34</f>
        <v>9</v>
      </c>
      <c r="G34" s="2" t="s">
        <v>10</v>
      </c>
      <c r="H34" s="2"/>
      <c r="I34" s="2"/>
    </row>
    <row r="35" spans="1:9" x14ac:dyDescent="0.25">
      <c r="A35" s="3">
        <v>46182</v>
      </c>
      <c r="B35" s="2" t="s">
        <v>43</v>
      </c>
      <c r="C35" s="2" t="str">
        <f t="shared" si="2"/>
        <v>Sim</v>
      </c>
      <c r="D35" s="2">
        <f>IFERROR(VLOOKUP(B35,[1]Planilha1!$B$2:$F$58,4,FALSE),0)</f>
        <v>3</v>
      </c>
      <c r="E35" s="2">
        <f>IFERROR(VLOOKUP(B35,[1]Planilha1!$B$2:$F$58,5,FALSE),0)</f>
        <v>0</v>
      </c>
      <c r="F35" s="2">
        <f t="shared" si="3"/>
        <v>3</v>
      </c>
      <c r="G35" s="2" t="s">
        <v>10</v>
      </c>
      <c r="H35" s="2"/>
      <c r="I35" s="2"/>
    </row>
    <row r="36" spans="1:9" x14ac:dyDescent="0.25">
      <c r="A36" s="3">
        <v>46182</v>
      </c>
      <c r="B36" s="2" t="s">
        <v>44</v>
      </c>
      <c r="C36" s="2" t="str">
        <f t="shared" si="2"/>
        <v>Sim</v>
      </c>
      <c r="D36" s="2">
        <f>IFERROR(VLOOKUP(B36,[1]Planilha1!$B$2:$F$58,4,FALSE),0)</f>
        <v>2</v>
      </c>
      <c r="E36" s="2">
        <f>IFERROR(VLOOKUP(B36,[1]Planilha1!$B$2:$F$58,5,FALSE),0)</f>
        <v>0</v>
      </c>
      <c r="F36" s="2">
        <f t="shared" si="3"/>
        <v>2</v>
      </c>
      <c r="G36" s="2" t="s">
        <v>10</v>
      </c>
      <c r="H36" s="2"/>
      <c r="I36" s="2"/>
    </row>
    <row r="37" spans="1:9" x14ac:dyDescent="0.25">
      <c r="A37" s="3">
        <v>46182</v>
      </c>
      <c r="B37" s="2" t="s">
        <v>45</v>
      </c>
      <c r="C37" s="2" t="str">
        <f t="shared" si="2"/>
        <v>Sim</v>
      </c>
      <c r="D37" s="2">
        <f>IFERROR(VLOOKUP(B37,[1]Planilha1!$B$2:$F$58,4,FALSE),0)</f>
        <v>8</v>
      </c>
      <c r="E37" s="2">
        <f>IFERROR(VLOOKUP(B37,[1]Planilha1!$B$2:$F$58,5,FALSE),0)</f>
        <v>0</v>
      </c>
      <c r="F37" s="2">
        <f t="shared" si="3"/>
        <v>8</v>
      </c>
      <c r="G37" s="2" t="s">
        <v>10</v>
      </c>
      <c r="H37" s="2"/>
      <c r="I37" s="2"/>
    </row>
    <row r="38" spans="1:9" x14ac:dyDescent="0.25">
      <c r="A38" s="3">
        <v>46182</v>
      </c>
      <c r="B38" s="2" t="s">
        <v>46</v>
      </c>
      <c r="C38" s="2" t="str">
        <f t="shared" si="2"/>
        <v>Sim</v>
      </c>
      <c r="D38" s="2">
        <f>IFERROR(VLOOKUP(B38,[1]Planilha1!$B$2:$F$58,4,FALSE),0)</f>
        <v>11</v>
      </c>
      <c r="E38" s="2">
        <f>IFERROR(VLOOKUP(B38,[1]Planilha1!$B$2:$F$58,5,FALSE),0)</f>
        <v>0</v>
      </c>
      <c r="F38" s="2">
        <f t="shared" si="3"/>
        <v>11</v>
      </c>
      <c r="G38" s="2" t="s">
        <v>10</v>
      </c>
      <c r="H38" s="2"/>
      <c r="I38" s="2"/>
    </row>
    <row r="39" spans="1:9" x14ac:dyDescent="0.25">
      <c r="A39" s="3">
        <v>46182</v>
      </c>
      <c r="B39" s="2" t="s">
        <v>47</v>
      </c>
      <c r="C39" s="2" t="str">
        <f t="shared" si="2"/>
        <v>Não</v>
      </c>
      <c r="D39" s="2">
        <f>IFERROR(VLOOKUP(B39,[1]Planilha1!$B$2:$F$58,4,FALSE),0)</f>
        <v>0</v>
      </c>
      <c r="E39" s="2">
        <f>IFERROR(VLOOKUP(B39,[1]Planilha1!$B$2:$F$58,5,FALSE),0)</f>
        <v>0</v>
      </c>
      <c r="F39" s="2">
        <f t="shared" si="3"/>
        <v>0</v>
      </c>
      <c r="G39" s="2" t="s">
        <v>10</v>
      </c>
      <c r="H39" s="2"/>
      <c r="I39" s="2"/>
    </row>
    <row r="40" spans="1:9" x14ac:dyDescent="0.25">
      <c r="A40" s="3">
        <v>46182</v>
      </c>
      <c r="B40" s="2" t="s">
        <v>48</v>
      </c>
      <c r="C40" s="2" t="str">
        <f t="shared" si="2"/>
        <v>Não</v>
      </c>
      <c r="D40" s="2">
        <f>IFERROR(VLOOKUP(B40,[1]Planilha1!$B$2:$F$58,4,FALSE),0)</f>
        <v>0</v>
      </c>
      <c r="E40" s="2">
        <f>IFERROR(VLOOKUP(B40,[1]Planilha1!$B$2:$F$58,5,FALSE),0)</f>
        <v>0</v>
      </c>
      <c r="F40" s="2">
        <f t="shared" si="3"/>
        <v>0</v>
      </c>
      <c r="G40" s="2" t="s">
        <v>10</v>
      </c>
      <c r="H40" s="2"/>
      <c r="I40" s="2"/>
    </row>
    <row r="41" spans="1:9" x14ac:dyDescent="0.25">
      <c r="A41" s="3">
        <v>46182</v>
      </c>
      <c r="B41" s="2" t="s">
        <v>49</v>
      </c>
      <c r="C41" s="2" t="str">
        <f t="shared" si="2"/>
        <v>Sim</v>
      </c>
      <c r="D41" s="2">
        <f>IFERROR(VLOOKUP(B41,[1]Planilha1!$B$2:$F$58,4,FALSE),0)</f>
        <v>5</v>
      </c>
      <c r="E41" s="2">
        <f>IFERROR(VLOOKUP(B41,[1]Planilha1!$B$2:$F$58,5,FALSE),0)</f>
        <v>2</v>
      </c>
      <c r="F41" s="2">
        <f t="shared" si="3"/>
        <v>7</v>
      </c>
      <c r="G41" s="2" t="s">
        <v>10</v>
      </c>
      <c r="H41" s="2"/>
      <c r="I41" s="2"/>
    </row>
    <row r="42" spans="1:9" x14ac:dyDescent="0.25">
      <c r="A42" s="3">
        <v>46182</v>
      </c>
      <c r="B42" s="2" t="s">
        <v>50</v>
      </c>
      <c r="C42" s="2" t="str">
        <f t="shared" si="2"/>
        <v>Sim</v>
      </c>
      <c r="D42" s="2">
        <f>IFERROR(VLOOKUP(B42,[1]Planilha1!$B$2:$F$58,4,FALSE),0)</f>
        <v>7</v>
      </c>
      <c r="E42" s="2">
        <f>IFERROR(VLOOKUP(B42,[1]Planilha1!$B$2:$F$58,5,FALSE),0)</f>
        <v>0</v>
      </c>
      <c r="F42" s="2">
        <f t="shared" si="3"/>
        <v>7</v>
      </c>
      <c r="G42" s="2" t="s">
        <v>10</v>
      </c>
      <c r="H42" s="2"/>
      <c r="I42" s="2"/>
    </row>
    <row r="43" spans="1:9" x14ac:dyDescent="0.25">
      <c r="A43" s="3">
        <v>46182</v>
      </c>
      <c r="B43" s="2" t="s">
        <v>51</v>
      </c>
      <c r="C43" s="2" t="str">
        <f t="shared" si="2"/>
        <v>Sim</v>
      </c>
      <c r="D43" s="2">
        <f>IFERROR(VLOOKUP(B43,[1]Planilha1!$B$2:$F$58,4,FALSE),0)</f>
        <v>1</v>
      </c>
      <c r="E43" s="2">
        <f>IFERROR(VLOOKUP(B43,[1]Planilha1!$B$2:$F$58,5,FALSE),0)</f>
        <v>0</v>
      </c>
      <c r="F43" s="2">
        <f t="shared" si="3"/>
        <v>1</v>
      </c>
      <c r="G43" s="2" t="s">
        <v>10</v>
      </c>
      <c r="H43" s="2"/>
      <c r="I43" s="2"/>
    </row>
    <row r="44" spans="1:9" x14ac:dyDescent="0.25">
      <c r="A44" s="3">
        <v>46182</v>
      </c>
      <c r="B44" s="2" t="s">
        <v>52</v>
      </c>
      <c r="C44" s="2" t="str">
        <f t="shared" si="2"/>
        <v>Sim</v>
      </c>
      <c r="D44" s="2">
        <f>IFERROR(VLOOKUP(B44,[1]Planilha1!$B$2:$F$58,4,FALSE),0)</f>
        <v>7</v>
      </c>
      <c r="E44" s="2">
        <f>IFERROR(VLOOKUP(B44,[1]Planilha1!$B$2:$F$58,5,FALSE),0)</f>
        <v>4</v>
      </c>
      <c r="F44" s="2">
        <f t="shared" si="3"/>
        <v>11</v>
      </c>
      <c r="G44" s="2" t="s">
        <v>10</v>
      </c>
      <c r="H44" s="2"/>
      <c r="I44" s="2"/>
    </row>
    <row r="45" spans="1:9" x14ac:dyDescent="0.25">
      <c r="A45" s="3">
        <v>46182</v>
      </c>
      <c r="B45" s="2" t="s">
        <v>53</v>
      </c>
      <c r="C45" s="2" t="str">
        <f t="shared" si="2"/>
        <v>Sim</v>
      </c>
      <c r="D45" s="2">
        <f>IFERROR(VLOOKUP(B45,[1]Planilha1!$B$2:$F$58,4,FALSE),0)</f>
        <v>2</v>
      </c>
      <c r="E45" s="2">
        <f>IFERROR(VLOOKUP(B45,[1]Planilha1!$B$2:$F$58,5,FALSE),0)</f>
        <v>0</v>
      </c>
      <c r="F45" s="2">
        <f t="shared" si="3"/>
        <v>2</v>
      </c>
      <c r="G45" s="2" t="s">
        <v>10</v>
      </c>
      <c r="H45" s="2"/>
      <c r="I45" s="2"/>
    </row>
    <row r="46" spans="1:9" x14ac:dyDescent="0.25">
      <c r="A46" s="3">
        <v>46182</v>
      </c>
      <c r="B46" s="2" t="s">
        <v>54</v>
      </c>
      <c r="C46" s="2" t="str">
        <f t="shared" si="2"/>
        <v>Sim</v>
      </c>
      <c r="D46" s="2">
        <f>IFERROR(VLOOKUP(B46,[1]Planilha1!$B$2:$F$58,4,FALSE),0)</f>
        <v>5</v>
      </c>
      <c r="E46" s="2">
        <f>IFERROR(VLOOKUP(B46,[1]Planilha1!$B$2:$F$58,5,FALSE),0)</f>
        <v>5</v>
      </c>
      <c r="F46" s="2">
        <f t="shared" si="3"/>
        <v>10</v>
      </c>
      <c r="G46" s="2" t="s">
        <v>10</v>
      </c>
      <c r="H46" s="2"/>
      <c r="I46" s="2"/>
    </row>
    <row r="47" spans="1:9" x14ac:dyDescent="0.25">
      <c r="A47" s="3">
        <v>46182</v>
      </c>
      <c r="B47" s="2" t="s">
        <v>55</v>
      </c>
      <c r="C47" s="2" t="str">
        <f t="shared" si="2"/>
        <v>Sim</v>
      </c>
      <c r="D47" s="2">
        <f>IFERROR(VLOOKUP(B47,[1]Planilha1!$B$2:$F$58,4,FALSE),0)</f>
        <v>4</v>
      </c>
      <c r="E47" s="2">
        <f>IFERROR(VLOOKUP(B47,[1]Planilha1!$B$2:$F$58,5,FALSE),0)</f>
        <v>0</v>
      </c>
      <c r="F47" s="2">
        <f t="shared" si="3"/>
        <v>4</v>
      </c>
      <c r="G47" s="2"/>
      <c r="H47" s="2"/>
      <c r="I47" s="2"/>
    </row>
    <row r="48" spans="1:9" x14ac:dyDescent="0.25">
      <c r="A48" s="3">
        <v>46182</v>
      </c>
      <c r="B48" s="2" t="s">
        <v>56</v>
      </c>
      <c r="C48" s="2" t="str">
        <f t="shared" si="2"/>
        <v>Sim</v>
      </c>
      <c r="D48" s="2">
        <f>IFERROR(VLOOKUP(B48,[1]Planilha1!$B$2:$F$58,4,FALSE),0)</f>
        <v>3</v>
      </c>
      <c r="E48" s="2">
        <f>IFERROR(VLOOKUP(B48,[1]Planilha1!$B$2:$F$58,5,FALSE),0)</f>
        <v>0</v>
      </c>
      <c r="F48" s="2">
        <f t="shared" si="3"/>
        <v>3</v>
      </c>
      <c r="G48" s="2"/>
      <c r="H48" s="2"/>
      <c r="I48" s="2"/>
    </row>
    <row r="49" spans="1:9" x14ac:dyDescent="0.25">
      <c r="A49" s="3">
        <v>46182</v>
      </c>
      <c r="B49" s="2" t="s">
        <v>57</v>
      </c>
      <c r="C49" s="2" t="str">
        <f t="shared" si="2"/>
        <v>Não</v>
      </c>
      <c r="D49" s="2">
        <f>IFERROR(VLOOKUP(B49,[1]Planilha1!$B$2:$F$58,4,FALSE),0)</f>
        <v>0</v>
      </c>
      <c r="E49" s="2">
        <f>IFERROR(VLOOKUP(B49,[1]Planilha1!$B$2:$F$58,5,FALSE),0)</f>
        <v>0</v>
      </c>
      <c r="F49" s="2">
        <f t="shared" si="3"/>
        <v>0</v>
      </c>
      <c r="G49" s="2"/>
      <c r="H49" s="2"/>
      <c r="I49" s="2"/>
    </row>
    <row r="50" spans="1:9" x14ac:dyDescent="0.25">
      <c r="A50" s="3">
        <v>46182</v>
      </c>
      <c r="B50" s="2" t="s">
        <v>58</v>
      </c>
      <c r="C50" s="2" t="str">
        <f t="shared" si="2"/>
        <v>Sim</v>
      </c>
      <c r="D50" s="2">
        <f>IFERROR(VLOOKUP(B50,[1]Planilha1!$B$2:$F$58,4,FALSE),0)</f>
        <v>7</v>
      </c>
      <c r="E50" s="2">
        <f>IFERROR(VLOOKUP(B50,[1]Planilha1!$B$2:$F$58,5,FALSE),0)</f>
        <v>2</v>
      </c>
      <c r="F50" s="2">
        <f t="shared" si="3"/>
        <v>9</v>
      </c>
      <c r="G50" s="2"/>
      <c r="H50" s="2"/>
      <c r="I50" s="2"/>
    </row>
    <row r="51" spans="1:9" x14ac:dyDescent="0.25">
      <c r="A51" s="3">
        <v>46182</v>
      </c>
      <c r="B51" s="2" t="s">
        <v>59</v>
      </c>
      <c r="C51" s="2" t="str">
        <f t="shared" si="2"/>
        <v>Sim</v>
      </c>
      <c r="D51" s="2">
        <f>IFERROR(VLOOKUP(B51,[1]Planilha1!$B$2:$F$58,4,FALSE),0)</f>
        <v>16</v>
      </c>
      <c r="E51" s="2">
        <f>IFERROR(VLOOKUP(B51,[1]Planilha1!$B$2:$F$58,5,FALSE),0)</f>
        <v>0</v>
      </c>
      <c r="F51" s="2">
        <f t="shared" si="3"/>
        <v>16</v>
      </c>
      <c r="G51" s="2"/>
      <c r="H51" s="2"/>
      <c r="I51" s="2"/>
    </row>
    <row r="52" spans="1:9" x14ac:dyDescent="0.25">
      <c r="A52" s="3">
        <v>46182</v>
      </c>
      <c r="B52" s="2" t="s">
        <v>60</v>
      </c>
      <c r="C52" s="2" t="str">
        <f t="shared" si="2"/>
        <v>Sim</v>
      </c>
      <c r="D52" s="2">
        <f>IFERROR(VLOOKUP(B52,[1]Planilha1!$B$2:$F$58,4,FALSE),0)</f>
        <v>19</v>
      </c>
      <c r="E52" s="2">
        <f>IFERROR(VLOOKUP(B52,[1]Planilha1!$B$2:$F$58,5,FALSE),0)</f>
        <v>0</v>
      </c>
      <c r="F52" s="2">
        <f t="shared" si="3"/>
        <v>19</v>
      </c>
      <c r="G52" s="2"/>
      <c r="H52" s="2"/>
      <c r="I52" s="2"/>
    </row>
    <row r="53" spans="1:9" x14ac:dyDescent="0.25">
      <c r="A53" s="3">
        <v>46182</v>
      </c>
      <c r="B53" s="2" t="s">
        <v>61</v>
      </c>
      <c r="C53" s="2" t="str">
        <f t="shared" si="2"/>
        <v>Sim</v>
      </c>
      <c r="D53" s="2">
        <f>IFERROR(VLOOKUP(B53,[1]Planilha1!$B$2:$F$58,4,FALSE),0)</f>
        <v>17</v>
      </c>
      <c r="E53" s="2">
        <f>IFERROR(VLOOKUP(B53,[1]Planilha1!$B$2:$F$58,5,FALSE),0)</f>
        <v>5</v>
      </c>
      <c r="F53" s="2">
        <f t="shared" si="3"/>
        <v>22</v>
      </c>
      <c r="G53" s="2"/>
      <c r="H53" s="2"/>
      <c r="I53" s="2"/>
    </row>
    <row r="54" spans="1:9" x14ac:dyDescent="0.25">
      <c r="A54" s="3">
        <v>46182</v>
      </c>
      <c r="B54" s="2" t="s">
        <v>62</v>
      </c>
      <c r="C54" s="2" t="str">
        <f t="shared" si="2"/>
        <v>Sim</v>
      </c>
      <c r="D54" s="2">
        <f>IFERROR(VLOOKUP(B54,[1]Planilha1!$B$2:$F$58,4,FALSE),0)</f>
        <v>3</v>
      </c>
      <c r="E54" s="2">
        <f>IFERROR(VLOOKUP(B54,[1]Planilha1!$B$2:$F$58,5,FALSE),0)</f>
        <v>4</v>
      </c>
      <c r="F54" s="2">
        <f t="shared" si="3"/>
        <v>7</v>
      </c>
      <c r="G54" s="2"/>
      <c r="H54" s="2"/>
      <c r="I54" s="2"/>
    </row>
    <row r="55" spans="1:9" x14ac:dyDescent="0.25">
      <c r="A55" s="3">
        <v>46182</v>
      </c>
      <c r="B55" s="2" t="s">
        <v>63</v>
      </c>
      <c r="C55" s="2" t="str">
        <f t="shared" si="2"/>
        <v>Sim</v>
      </c>
      <c r="D55" s="2">
        <f>IFERROR(VLOOKUP(B55,[1]Planilha1!$B$2:$F$58,4,FALSE),0)</f>
        <v>2</v>
      </c>
      <c r="E55" s="2">
        <f>IFERROR(VLOOKUP(B55,[1]Planilha1!$B$2:$F$58,5,FALSE),0)</f>
        <v>0</v>
      </c>
      <c r="F55" s="2">
        <f t="shared" si="3"/>
        <v>2</v>
      </c>
      <c r="G55" s="2"/>
      <c r="H55" s="2"/>
      <c r="I55" s="2"/>
    </row>
    <row r="56" spans="1:9" x14ac:dyDescent="0.25">
      <c r="A56" s="3">
        <v>46182</v>
      </c>
      <c r="B56" s="2" t="s">
        <v>64</v>
      </c>
      <c r="C56" s="2" t="str">
        <f t="shared" si="2"/>
        <v>Sim</v>
      </c>
      <c r="D56" s="2">
        <f>IFERROR(VLOOKUP(B56,[1]Planilha1!$B$2:$F$58,4,FALSE),0)</f>
        <v>3</v>
      </c>
      <c r="E56" s="2">
        <f>IFERROR(VLOOKUP(B56,[1]Planilha1!$B$2:$F$58,5,FALSE),0)</f>
        <v>2</v>
      </c>
      <c r="F56" s="2">
        <f t="shared" si="3"/>
        <v>5</v>
      </c>
      <c r="G56" s="2"/>
      <c r="H56" s="2"/>
      <c r="I56" s="2"/>
    </row>
    <row r="57" spans="1:9" x14ac:dyDescent="0.25">
      <c r="A57" s="3">
        <v>46182</v>
      </c>
      <c r="B57" s="2" t="s">
        <v>65</v>
      </c>
      <c r="C57" s="2" t="str">
        <f t="shared" si="2"/>
        <v>Sim</v>
      </c>
      <c r="D57" s="2">
        <f>IFERROR(VLOOKUP(B57,[1]Planilha1!$B$2:$F$58,4,FALSE),0)</f>
        <v>7</v>
      </c>
      <c r="E57" s="2">
        <f>IFERROR(VLOOKUP(B57,[1]Planilha1!$B$2:$F$58,5,FALSE),0)</f>
        <v>0</v>
      </c>
      <c r="F57" s="2">
        <f t="shared" si="3"/>
        <v>7</v>
      </c>
      <c r="G57" s="2"/>
      <c r="H57" s="2"/>
      <c r="I57" s="2"/>
    </row>
    <row r="58" spans="1:9" x14ac:dyDescent="0.25">
      <c r="A58" s="3">
        <v>46182</v>
      </c>
      <c r="B58" s="2" t="s">
        <v>66</v>
      </c>
      <c r="C58" s="2" t="str">
        <f t="shared" si="2"/>
        <v>Não</v>
      </c>
      <c r="D58" s="2">
        <f>IFERROR(VLOOKUP(B58,[1]Planilha1!$B$2:$F$58,4,FALSE),0)</f>
        <v>0</v>
      </c>
      <c r="E58" s="2">
        <f>IFERROR(VLOOKUP(B58,[1]Planilha1!$B$2:$F$58,5,FALSE),0)</f>
        <v>0</v>
      </c>
      <c r="F58" s="2">
        <f t="shared" si="3"/>
        <v>0</v>
      </c>
      <c r="G58" s="2"/>
      <c r="H58" s="2"/>
      <c r="I58" s="2"/>
    </row>
    <row r="59" spans="1:9" x14ac:dyDescent="0.25">
      <c r="A59" s="3">
        <v>46182</v>
      </c>
      <c r="B59" s="2" t="s">
        <v>67</v>
      </c>
      <c r="C59" s="2" t="str">
        <f t="shared" si="2"/>
        <v>Sim</v>
      </c>
      <c r="D59" s="2">
        <f>IFERROR(VLOOKUP(B59,[1]Planilha1!$B$2:$F$58,4,FALSE),0)</f>
        <v>4</v>
      </c>
      <c r="E59" s="2">
        <f>IFERROR(VLOOKUP(B59,[1]Planilha1!$B$2:$F$58,5,FALSE),0)</f>
        <v>4</v>
      </c>
      <c r="F59" s="2">
        <f t="shared" si="3"/>
        <v>8</v>
      </c>
      <c r="G59" s="2"/>
      <c r="H59" s="2"/>
      <c r="I59" s="2"/>
    </row>
    <row r="60" spans="1:9" x14ac:dyDescent="0.25">
      <c r="A60" s="3">
        <v>46182</v>
      </c>
      <c r="B60" s="2" t="s">
        <v>68</v>
      </c>
      <c r="C60" s="2" t="str">
        <f t="shared" si="2"/>
        <v>Não</v>
      </c>
      <c r="D60" s="2">
        <f>IFERROR(VLOOKUP(B60,[1]Planilha1!$B$2:$F$58,4,FALSE),0)</f>
        <v>0</v>
      </c>
      <c r="E60" s="2">
        <f>IFERROR(VLOOKUP(B60,[1]Planilha1!$B$2:$F$58,5,FALSE),0)</f>
        <v>0</v>
      </c>
      <c r="F60" s="2">
        <f t="shared" si="3"/>
        <v>0</v>
      </c>
      <c r="G60" s="2"/>
      <c r="H60" s="2"/>
      <c r="I60" s="2"/>
    </row>
    <row r="61" spans="1:9" x14ac:dyDescent="0.25">
      <c r="A61" s="3">
        <v>46182</v>
      </c>
      <c r="B61" s="2" t="s">
        <v>69</v>
      </c>
      <c r="C61" s="2" t="str">
        <f t="shared" si="2"/>
        <v>Sim</v>
      </c>
      <c r="D61" s="2">
        <f>IFERROR(VLOOKUP(B61,[1]Planilha1!$B$2:$F$58,4,FALSE),0)</f>
        <v>3</v>
      </c>
      <c r="E61" s="2">
        <f>IFERROR(VLOOKUP(B61,[1]Planilha1!$B$2:$F$58,5,FALSE),0)</f>
        <v>1</v>
      </c>
      <c r="F61" s="2">
        <f t="shared" si="3"/>
        <v>4</v>
      </c>
      <c r="G61" s="2"/>
      <c r="H61" s="2"/>
      <c r="I61" s="2"/>
    </row>
    <row r="62" spans="1:9" x14ac:dyDescent="0.25">
      <c r="A62" s="3">
        <v>46182</v>
      </c>
      <c r="B62" s="2" t="s">
        <v>70</v>
      </c>
      <c r="C62" s="2" t="str">
        <f t="shared" si="2"/>
        <v>Sim</v>
      </c>
      <c r="D62" s="2">
        <f>IFERROR(VLOOKUP(B62,[1]Planilha1!$B$2:$F$58,4,FALSE),0)</f>
        <v>7</v>
      </c>
      <c r="E62" s="2">
        <f>IFERROR(VLOOKUP(B62,[1]Planilha1!$B$2:$F$58,5,FALSE),0)</f>
        <v>6</v>
      </c>
      <c r="F62" s="2">
        <f t="shared" si="3"/>
        <v>13</v>
      </c>
      <c r="G62" s="2"/>
      <c r="H62" s="2"/>
      <c r="I62" s="2"/>
    </row>
    <row r="63" spans="1:9" x14ac:dyDescent="0.25">
      <c r="A63" s="3">
        <v>46182</v>
      </c>
      <c r="B63" s="2" t="s">
        <v>71</v>
      </c>
      <c r="C63" s="2" t="str">
        <f t="shared" si="2"/>
        <v>Não</v>
      </c>
      <c r="D63" s="2">
        <f>IFERROR(VLOOKUP(B63,[1]Planilha1!$B$2:$F$58,4,FALSE),0)</f>
        <v>0</v>
      </c>
      <c r="E63" s="2">
        <f>IFERROR(VLOOKUP(B63,[1]Planilha1!$B$2:$F$58,5,FALSE),0)</f>
        <v>0</v>
      </c>
      <c r="F63" s="2">
        <f t="shared" si="3"/>
        <v>0</v>
      </c>
      <c r="G63" s="2"/>
      <c r="H63" s="2"/>
      <c r="I63" s="2"/>
    </row>
    <row r="64" spans="1:9" x14ac:dyDescent="0.25">
      <c r="A64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topLeftCell="A43" zoomScaleNormal="100" workbookViewId="0">
      <selection activeCell="I60" sqref="I60"/>
    </sheetView>
  </sheetViews>
  <sheetFormatPr defaultRowHeight="15" x14ac:dyDescent="0.25"/>
  <cols>
    <col min="1" max="1" width="17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5">
        <v>46171</v>
      </c>
      <c r="B2" t="s">
        <v>9</v>
      </c>
      <c r="C2" t="str">
        <f t="shared" ref="C2:C33" si="0">IF(F2&lt;=0,"Não",IF(F2&gt;=1,"Sim"))</f>
        <v>Sim</v>
      </c>
      <c r="D2">
        <f>IFERROR(VLOOKUP(B2,[1]Planilha1!$B$2:$F$58,4,FALSE),0)</f>
        <v>8</v>
      </c>
      <c r="E2">
        <f>IFERROR(VLOOKUP(B2,[1]Planilha1!$B$2:$F$58,5,FALSE),0)</f>
        <v>3</v>
      </c>
      <c r="F2">
        <f t="shared" ref="F2:F33" si="1">D2+E2</f>
        <v>11</v>
      </c>
      <c r="G2" t="s">
        <v>10</v>
      </c>
      <c r="H2" t="s">
        <v>10</v>
      </c>
      <c r="I2">
        <v>1</v>
      </c>
    </row>
    <row r="3" spans="1:9" x14ac:dyDescent="0.25">
      <c r="A3" s="5">
        <v>46171</v>
      </c>
      <c r="B3" t="s">
        <v>11</v>
      </c>
      <c r="C3" t="str">
        <f t="shared" si="0"/>
        <v>Sim</v>
      </c>
      <c r="D3">
        <f>IFERROR(VLOOKUP(B3,[1]Planilha1!$B$2:$F$58,4,FALSE),0)</f>
        <v>8</v>
      </c>
      <c r="E3">
        <f>IFERROR(VLOOKUP(B3,[1]Planilha1!$B$2:$F$58,5,FALSE),0)</f>
        <v>0</v>
      </c>
      <c r="F3">
        <f t="shared" si="1"/>
        <v>8</v>
      </c>
      <c r="G3" t="s">
        <v>10</v>
      </c>
      <c r="H3" t="s">
        <v>10</v>
      </c>
      <c r="I3">
        <v>1</v>
      </c>
    </row>
    <row r="4" spans="1:9" x14ac:dyDescent="0.25">
      <c r="A4" s="5">
        <v>46171</v>
      </c>
      <c r="B4" t="s">
        <v>12</v>
      </c>
      <c r="C4" t="str">
        <f t="shared" si="0"/>
        <v>Sim</v>
      </c>
      <c r="D4">
        <f>IFERROR(VLOOKUP(B4,[1]Planilha1!$B$2:$F$58,4,FALSE),0)</f>
        <v>5</v>
      </c>
      <c r="E4">
        <f>IFERROR(VLOOKUP(B4,[1]Planilha1!$B$2:$F$58,5,FALSE),0)</f>
        <v>1</v>
      </c>
      <c r="F4">
        <f t="shared" si="1"/>
        <v>6</v>
      </c>
      <c r="G4" t="s">
        <v>10</v>
      </c>
      <c r="H4" t="s">
        <v>10</v>
      </c>
      <c r="I4">
        <v>1</v>
      </c>
    </row>
    <row r="5" spans="1:9" x14ac:dyDescent="0.25">
      <c r="A5" s="5">
        <v>46171</v>
      </c>
      <c r="B5" t="s">
        <v>13</v>
      </c>
      <c r="C5" t="str">
        <f t="shared" si="0"/>
        <v>Sim</v>
      </c>
      <c r="D5">
        <f>IFERROR(VLOOKUP(B5,[1]Planilha1!$B$2:$F$58,4,FALSE),0)</f>
        <v>15</v>
      </c>
      <c r="E5">
        <f>IFERROR(VLOOKUP(B5,[1]Planilha1!$B$2:$F$58,5,FALSE),0)</f>
        <v>7</v>
      </c>
      <c r="F5">
        <f t="shared" si="1"/>
        <v>22</v>
      </c>
      <c r="G5" t="s">
        <v>10</v>
      </c>
      <c r="H5" t="s">
        <v>10</v>
      </c>
    </row>
    <row r="6" spans="1:9" x14ac:dyDescent="0.25">
      <c r="A6" s="5">
        <v>46171</v>
      </c>
      <c r="B6" t="s">
        <v>14</v>
      </c>
      <c r="C6" t="str">
        <f t="shared" si="0"/>
        <v>Sim</v>
      </c>
      <c r="D6">
        <f>IFERROR(VLOOKUP(B6,[1]Planilha1!$B$2:$F$58,4,FALSE),0)</f>
        <v>5</v>
      </c>
      <c r="E6">
        <f>IFERROR(VLOOKUP(B6,[1]Planilha1!$B$2:$F$58,5,FALSE),0)</f>
        <v>1</v>
      </c>
      <c r="F6">
        <f t="shared" si="1"/>
        <v>6</v>
      </c>
      <c r="G6" t="s">
        <v>10</v>
      </c>
      <c r="H6" t="s">
        <v>10</v>
      </c>
    </row>
    <row r="7" spans="1:9" x14ac:dyDescent="0.25">
      <c r="A7" s="5">
        <v>46171</v>
      </c>
      <c r="B7" t="s">
        <v>15</v>
      </c>
      <c r="C7" t="str">
        <f t="shared" si="0"/>
        <v>Sim</v>
      </c>
      <c r="D7">
        <f>IFERROR(VLOOKUP(B7,[1]Planilha1!$B$2:$F$58,4,FALSE),0)</f>
        <v>19</v>
      </c>
      <c r="E7">
        <f>IFERROR(VLOOKUP(B7,[1]Planilha1!$B$2:$F$58,5,FALSE),0)</f>
        <v>0</v>
      </c>
      <c r="F7">
        <f t="shared" si="1"/>
        <v>19</v>
      </c>
      <c r="G7" t="s">
        <v>10</v>
      </c>
      <c r="H7" t="s">
        <v>10</v>
      </c>
    </row>
    <row r="8" spans="1:9" x14ac:dyDescent="0.25">
      <c r="A8" s="5">
        <v>46171</v>
      </c>
      <c r="B8" t="s">
        <v>16</v>
      </c>
      <c r="C8" t="str">
        <f t="shared" si="0"/>
        <v>Sim</v>
      </c>
      <c r="D8">
        <f>IFERROR(VLOOKUP(B8,[1]Planilha1!$B$2:$F$58,4,FALSE),0)</f>
        <v>4</v>
      </c>
      <c r="E8">
        <f>IFERROR(VLOOKUP(B8,[1]Planilha1!$B$2:$F$58,5,FALSE),0)</f>
        <v>0</v>
      </c>
      <c r="F8">
        <f t="shared" si="1"/>
        <v>4</v>
      </c>
      <c r="G8" t="s">
        <v>10</v>
      </c>
      <c r="H8" t="s">
        <v>10</v>
      </c>
    </row>
    <row r="9" spans="1:9" x14ac:dyDescent="0.25">
      <c r="A9" s="5">
        <v>46171</v>
      </c>
      <c r="B9" t="s">
        <v>17</v>
      </c>
      <c r="C9" t="str">
        <f t="shared" si="0"/>
        <v>Sim</v>
      </c>
      <c r="D9">
        <f>IFERROR(VLOOKUP(B9,[1]Planilha1!$B$2:$F$58,4,FALSE),0)</f>
        <v>3</v>
      </c>
      <c r="E9">
        <f>IFERROR(VLOOKUP(B9,[1]Planilha1!$B$2:$F$58,5,FALSE),0)</f>
        <v>0</v>
      </c>
      <c r="F9">
        <f t="shared" si="1"/>
        <v>3</v>
      </c>
      <c r="G9" t="s">
        <v>10</v>
      </c>
      <c r="H9" t="s">
        <v>10</v>
      </c>
    </row>
    <row r="10" spans="1:9" x14ac:dyDescent="0.25">
      <c r="A10" s="5">
        <v>46171</v>
      </c>
      <c r="B10" t="s">
        <v>18</v>
      </c>
      <c r="C10" t="str">
        <f t="shared" si="0"/>
        <v>Sim</v>
      </c>
      <c r="D10">
        <f>IFERROR(VLOOKUP(B10,[1]Planilha1!$B$2:$F$58,4,FALSE),0)</f>
        <v>5</v>
      </c>
      <c r="E10">
        <f>IFERROR(VLOOKUP(B10,[1]Planilha1!$B$2:$F$58,5,FALSE),0)</f>
        <v>0</v>
      </c>
      <c r="F10">
        <f t="shared" si="1"/>
        <v>5</v>
      </c>
      <c r="G10" t="s">
        <v>10</v>
      </c>
      <c r="H10" t="s">
        <v>10</v>
      </c>
    </row>
    <row r="11" spans="1:9" x14ac:dyDescent="0.25">
      <c r="A11" s="5">
        <v>46171</v>
      </c>
      <c r="B11" t="s">
        <v>19</v>
      </c>
      <c r="C11" t="str">
        <f t="shared" si="0"/>
        <v>Sim</v>
      </c>
      <c r="D11">
        <f>IFERROR(VLOOKUP(B11,[1]Planilha1!$B$2:$F$58,4,FALSE),0)</f>
        <v>4</v>
      </c>
      <c r="E11">
        <f>IFERROR(VLOOKUP(B11,[1]Planilha1!$B$2:$F$58,5,FALSE),0)</f>
        <v>0</v>
      </c>
      <c r="F11">
        <f t="shared" si="1"/>
        <v>4</v>
      </c>
      <c r="G11" t="s">
        <v>10</v>
      </c>
      <c r="H11" t="s">
        <v>10</v>
      </c>
    </row>
    <row r="12" spans="1:9" x14ac:dyDescent="0.25">
      <c r="A12" s="5">
        <v>46171</v>
      </c>
      <c r="B12" t="s">
        <v>20</v>
      </c>
      <c r="C12" t="str">
        <f t="shared" si="0"/>
        <v>Sim</v>
      </c>
      <c r="D12">
        <f>IFERROR(VLOOKUP(B12,[1]Planilha1!$B$2:$F$58,4,FALSE),0)</f>
        <v>5</v>
      </c>
      <c r="E12">
        <f>IFERROR(VLOOKUP(B12,[1]Planilha1!$B$2:$F$58,5,FALSE),0)</f>
        <v>0</v>
      </c>
      <c r="F12">
        <f t="shared" si="1"/>
        <v>5</v>
      </c>
      <c r="G12" t="s">
        <v>10</v>
      </c>
      <c r="H12" t="s">
        <v>10</v>
      </c>
    </row>
    <row r="13" spans="1:9" x14ac:dyDescent="0.25">
      <c r="A13" s="5">
        <v>46171</v>
      </c>
      <c r="B13" t="s">
        <v>21</v>
      </c>
      <c r="C13" t="str">
        <f t="shared" si="0"/>
        <v>Sim</v>
      </c>
      <c r="D13">
        <f>IFERROR(VLOOKUP(B13,[1]Planilha1!$B$2:$F$58,4,FALSE),0)</f>
        <v>7</v>
      </c>
      <c r="E13">
        <f>IFERROR(VLOOKUP(B13,[1]Planilha1!$B$2:$F$58,5,FALSE),0)</f>
        <v>0</v>
      </c>
      <c r="F13">
        <f t="shared" si="1"/>
        <v>7</v>
      </c>
      <c r="G13" t="s">
        <v>10</v>
      </c>
      <c r="H13" t="s">
        <v>10</v>
      </c>
    </row>
    <row r="14" spans="1:9" x14ac:dyDescent="0.25">
      <c r="A14" s="5">
        <v>46171</v>
      </c>
      <c r="B14" t="s">
        <v>22</v>
      </c>
      <c r="C14" t="str">
        <f t="shared" si="0"/>
        <v>Sim</v>
      </c>
      <c r="D14">
        <f>IFERROR(VLOOKUP(B14,[1]Planilha1!$B$2:$F$58,4,FALSE),0)</f>
        <v>2</v>
      </c>
      <c r="E14">
        <f>IFERROR(VLOOKUP(B14,[1]Planilha1!$B$2:$F$58,5,FALSE),0)</f>
        <v>1</v>
      </c>
      <c r="F14">
        <f t="shared" si="1"/>
        <v>3</v>
      </c>
      <c r="G14" t="s">
        <v>10</v>
      </c>
      <c r="H14" t="s">
        <v>10</v>
      </c>
    </row>
    <row r="15" spans="1:9" x14ac:dyDescent="0.25">
      <c r="A15" s="5">
        <v>46171</v>
      </c>
      <c r="B15" t="s">
        <v>23</v>
      </c>
      <c r="C15" t="str">
        <f t="shared" si="0"/>
        <v>Sim</v>
      </c>
      <c r="D15">
        <f>IFERROR(VLOOKUP(B15,[1]Planilha1!$B$2:$F$58,4,FALSE),0)</f>
        <v>9</v>
      </c>
      <c r="E15">
        <f>IFERROR(VLOOKUP(B15,[1]Planilha1!$B$2:$F$58,5,FALSE),0)</f>
        <v>2</v>
      </c>
      <c r="F15">
        <f t="shared" si="1"/>
        <v>11</v>
      </c>
      <c r="G15" t="s">
        <v>10</v>
      </c>
      <c r="H15" t="s">
        <v>10</v>
      </c>
    </row>
    <row r="16" spans="1:9" x14ac:dyDescent="0.25">
      <c r="A16" s="5">
        <v>46171</v>
      </c>
      <c r="B16" t="s">
        <v>24</v>
      </c>
      <c r="C16" t="str">
        <f t="shared" si="0"/>
        <v>Sim</v>
      </c>
      <c r="D16">
        <f>IFERROR(VLOOKUP(B16,[1]Planilha1!$B$2:$F$58,4,FALSE),0)</f>
        <v>15</v>
      </c>
      <c r="E16">
        <f>IFERROR(VLOOKUP(B16,[1]Planilha1!$B$2:$F$58,5,FALSE),0)</f>
        <v>0</v>
      </c>
      <c r="F16">
        <f t="shared" si="1"/>
        <v>15</v>
      </c>
      <c r="G16" t="s">
        <v>10</v>
      </c>
      <c r="H16" t="s">
        <v>10</v>
      </c>
    </row>
    <row r="17" spans="1:8" x14ac:dyDescent="0.25">
      <c r="A17" s="5">
        <v>46171</v>
      </c>
      <c r="B17" t="s">
        <v>25</v>
      </c>
      <c r="C17" t="str">
        <f t="shared" si="0"/>
        <v>Sim</v>
      </c>
      <c r="D17">
        <f>IFERROR(VLOOKUP(B17,[1]Planilha1!$B$2:$F$58,4,FALSE),0)</f>
        <v>15</v>
      </c>
      <c r="E17">
        <f>IFERROR(VLOOKUP(B17,[1]Planilha1!$B$2:$F$58,5,FALSE),0)</f>
        <v>0</v>
      </c>
      <c r="F17">
        <f t="shared" si="1"/>
        <v>15</v>
      </c>
      <c r="G17" t="s">
        <v>10</v>
      </c>
      <c r="H17" t="s">
        <v>10</v>
      </c>
    </row>
    <row r="18" spans="1:8" x14ac:dyDescent="0.25">
      <c r="A18" s="5">
        <v>46171</v>
      </c>
      <c r="B18" t="s">
        <v>26</v>
      </c>
      <c r="C18" t="str">
        <f t="shared" si="0"/>
        <v>Sim</v>
      </c>
      <c r="D18">
        <f>IFERROR(VLOOKUP(B18,[1]Planilha1!$B$2:$F$58,4,FALSE),0)</f>
        <v>4</v>
      </c>
      <c r="E18">
        <f>IFERROR(VLOOKUP(B18,[1]Planilha1!$B$2:$F$58,5,FALSE),0)</f>
        <v>0</v>
      </c>
      <c r="F18">
        <f t="shared" si="1"/>
        <v>4</v>
      </c>
      <c r="G18" t="s">
        <v>10</v>
      </c>
      <c r="H18" t="s">
        <v>10</v>
      </c>
    </row>
    <row r="19" spans="1:8" x14ac:dyDescent="0.25">
      <c r="A19" s="5">
        <v>46171</v>
      </c>
      <c r="B19" t="s">
        <v>27</v>
      </c>
      <c r="C19" t="str">
        <f t="shared" si="0"/>
        <v>Sim</v>
      </c>
      <c r="D19">
        <f>IFERROR(VLOOKUP(B19,[1]Planilha1!$B$2:$F$58,4,FALSE),0)</f>
        <v>8</v>
      </c>
      <c r="E19">
        <f>IFERROR(VLOOKUP(B19,[1]Planilha1!$B$2:$F$58,5,FALSE),0)</f>
        <v>12</v>
      </c>
      <c r="F19">
        <f t="shared" si="1"/>
        <v>20</v>
      </c>
      <c r="G19" t="s">
        <v>10</v>
      </c>
      <c r="H19" t="s">
        <v>10</v>
      </c>
    </row>
    <row r="20" spans="1:8" x14ac:dyDescent="0.25">
      <c r="A20" s="5">
        <v>46171</v>
      </c>
      <c r="B20" t="s">
        <v>28</v>
      </c>
      <c r="C20" t="str">
        <f t="shared" si="0"/>
        <v>Sim</v>
      </c>
      <c r="D20">
        <f>IFERROR(VLOOKUP(B20,[1]Planilha1!$B$2:$F$58,4,FALSE),0)</f>
        <v>7</v>
      </c>
      <c r="E20">
        <f>IFERROR(VLOOKUP(B20,[1]Planilha1!$B$2:$F$58,5,FALSE),0)</f>
        <v>3</v>
      </c>
      <c r="F20">
        <f t="shared" si="1"/>
        <v>10</v>
      </c>
      <c r="G20" t="s">
        <v>10</v>
      </c>
      <c r="H20" t="s">
        <v>10</v>
      </c>
    </row>
    <row r="21" spans="1:8" x14ac:dyDescent="0.25">
      <c r="A21" s="5">
        <v>46171</v>
      </c>
      <c r="B21" t="s">
        <v>29</v>
      </c>
      <c r="C21" t="str">
        <f t="shared" si="0"/>
        <v>Sim</v>
      </c>
      <c r="D21">
        <f>IFERROR(VLOOKUP(B21,[1]Planilha1!$B$2:$F$58,4,FALSE),0)</f>
        <v>0</v>
      </c>
      <c r="E21">
        <f>IFERROR(VLOOKUP(B21,[1]Planilha1!$B$2:$F$58,5,FALSE),0)</f>
        <v>5</v>
      </c>
      <c r="F21">
        <f t="shared" si="1"/>
        <v>5</v>
      </c>
      <c r="G21" t="s">
        <v>10</v>
      </c>
      <c r="H21" t="s">
        <v>10</v>
      </c>
    </row>
    <row r="22" spans="1:8" x14ac:dyDescent="0.25">
      <c r="A22" s="5">
        <v>46171</v>
      </c>
      <c r="B22" t="s">
        <v>30</v>
      </c>
      <c r="C22" t="str">
        <f t="shared" si="0"/>
        <v>Sim</v>
      </c>
      <c r="D22">
        <f>IFERROR(VLOOKUP(B22,[1]Planilha1!$B$2:$F$58,4,FALSE),0)</f>
        <v>0</v>
      </c>
      <c r="E22">
        <f>IFERROR(VLOOKUP(B22,[1]Planilha1!$B$2:$F$58,5,FALSE),0)</f>
        <v>3</v>
      </c>
      <c r="F22">
        <f t="shared" si="1"/>
        <v>3</v>
      </c>
      <c r="G22" t="s">
        <v>10</v>
      </c>
      <c r="H22" t="s">
        <v>10</v>
      </c>
    </row>
    <row r="23" spans="1:8" x14ac:dyDescent="0.25">
      <c r="A23" s="5">
        <v>46171</v>
      </c>
      <c r="B23" t="s">
        <v>31</v>
      </c>
      <c r="C23" t="str">
        <f t="shared" si="0"/>
        <v>Sim</v>
      </c>
      <c r="D23">
        <f>IFERROR(VLOOKUP(B23,[1]Planilha1!$B$2:$F$58,4,FALSE),0)</f>
        <v>8</v>
      </c>
      <c r="E23">
        <f>IFERROR(VLOOKUP(B23,[1]Planilha1!$B$2:$F$58,5,FALSE),0)</f>
        <v>5</v>
      </c>
      <c r="F23">
        <f t="shared" si="1"/>
        <v>13</v>
      </c>
      <c r="G23" t="s">
        <v>10</v>
      </c>
      <c r="H23" t="s">
        <v>10</v>
      </c>
    </row>
    <row r="24" spans="1:8" x14ac:dyDescent="0.25">
      <c r="A24" s="5">
        <v>46171</v>
      </c>
      <c r="B24" t="s">
        <v>32</v>
      </c>
      <c r="C24" t="str">
        <f t="shared" si="0"/>
        <v>Sim</v>
      </c>
      <c r="D24">
        <f>IFERROR(VLOOKUP(B24,[1]Planilha1!$B$2:$F$58,4,FALSE),0)</f>
        <v>6</v>
      </c>
      <c r="E24">
        <f>IFERROR(VLOOKUP(B24,[1]Planilha1!$B$2:$F$58,5,FALSE),0)</f>
        <v>1</v>
      </c>
      <c r="F24">
        <f t="shared" si="1"/>
        <v>7</v>
      </c>
      <c r="G24" t="s">
        <v>10</v>
      </c>
      <c r="H24" t="s">
        <v>10</v>
      </c>
    </row>
    <row r="25" spans="1:8" x14ac:dyDescent="0.25">
      <c r="A25" s="5">
        <v>46171</v>
      </c>
      <c r="B25" t="s">
        <v>33</v>
      </c>
      <c r="C25" t="str">
        <f t="shared" si="0"/>
        <v>Sim</v>
      </c>
      <c r="D25">
        <f>IFERROR(VLOOKUP(B25,[1]Planilha1!$B$2:$F$58,4,FALSE),0)</f>
        <v>6</v>
      </c>
      <c r="E25">
        <f>IFERROR(VLOOKUP(B25,[1]Planilha1!$B$2:$F$58,5,FALSE),0)</f>
        <v>1</v>
      </c>
      <c r="F25">
        <f t="shared" si="1"/>
        <v>7</v>
      </c>
      <c r="G25" t="s">
        <v>10</v>
      </c>
      <c r="H25" t="s">
        <v>10</v>
      </c>
    </row>
    <row r="26" spans="1:8" x14ac:dyDescent="0.25">
      <c r="A26" s="5">
        <v>46171</v>
      </c>
      <c r="B26" t="s">
        <v>34</v>
      </c>
      <c r="C26" t="str">
        <f t="shared" si="0"/>
        <v>Não</v>
      </c>
      <c r="D26">
        <f>IFERROR(VLOOKUP(B26,[1]Planilha1!$B$2:$F$58,4,FALSE),0)</f>
        <v>0</v>
      </c>
      <c r="E26">
        <f>IFERROR(VLOOKUP(B26,[1]Planilha1!$B$2:$F$58,5,FALSE),0)</f>
        <v>0</v>
      </c>
      <c r="F26">
        <f t="shared" si="1"/>
        <v>0</v>
      </c>
      <c r="G26" t="s">
        <v>10</v>
      </c>
      <c r="H26" t="s">
        <v>10</v>
      </c>
    </row>
    <row r="27" spans="1:8" x14ac:dyDescent="0.25">
      <c r="A27" s="5">
        <v>46171</v>
      </c>
      <c r="B27" t="s">
        <v>35</v>
      </c>
      <c r="C27" t="str">
        <f t="shared" si="0"/>
        <v>Sim</v>
      </c>
      <c r="D27">
        <f>IFERROR(VLOOKUP(B27,[1]Planilha1!$B$2:$F$58,4,FALSE),0)</f>
        <v>2</v>
      </c>
      <c r="E27">
        <f>IFERROR(VLOOKUP(B27,[1]Planilha1!$B$2:$F$58,5,FALSE),0)</f>
        <v>1</v>
      </c>
      <c r="F27">
        <f t="shared" si="1"/>
        <v>3</v>
      </c>
      <c r="G27" t="s">
        <v>10</v>
      </c>
      <c r="H27" t="s">
        <v>10</v>
      </c>
    </row>
    <row r="28" spans="1:8" x14ac:dyDescent="0.25">
      <c r="A28" s="5">
        <v>46171</v>
      </c>
      <c r="B28" t="s">
        <v>36</v>
      </c>
      <c r="C28" t="str">
        <f t="shared" si="0"/>
        <v>Sim</v>
      </c>
      <c r="D28">
        <f>IFERROR(VLOOKUP(B28,[1]Planilha1!$B$2:$F$58,4,FALSE),0)</f>
        <v>3</v>
      </c>
      <c r="E28">
        <f>IFERROR(VLOOKUP(B28,[1]Planilha1!$B$2:$F$58,5,FALSE),0)</f>
        <v>0</v>
      </c>
      <c r="F28">
        <f t="shared" si="1"/>
        <v>3</v>
      </c>
      <c r="G28" t="s">
        <v>10</v>
      </c>
      <c r="H28" t="s">
        <v>10</v>
      </c>
    </row>
    <row r="29" spans="1:8" x14ac:dyDescent="0.25">
      <c r="A29" s="5">
        <v>46171</v>
      </c>
      <c r="B29" t="s">
        <v>37</v>
      </c>
      <c r="C29" t="str">
        <f t="shared" si="0"/>
        <v>Não</v>
      </c>
      <c r="D29">
        <f>IFERROR(VLOOKUP(B29,[1]Planilha1!$B$2:$F$58,4,FALSE),0)</f>
        <v>0</v>
      </c>
      <c r="E29">
        <f>IFERROR(VLOOKUP(B29,[1]Planilha1!$B$2:$F$58,5,FALSE),0)</f>
        <v>0</v>
      </c>
      <c r="F29">
        <f t="shared" si="1"/>
        <v>0</v>
      </c>
      <c r="G29" t="s">
        <v>10</v>
      </c>
      <c r="H29" t="s">
        <v>10</v>
      </c>
    </row>
    <row r="30" spans="1:8" x14ac:dyDescent="0.25">
      <c r="A30" s="5">
        <v>46171</v>
      </c>
      <c r="B30" t="s">
        <v>38</v>
      </c>
      <c r="C30" t="str">
        <f t="shared" si="0"/>
        <v>Sim</v>
      </c>
      <c r="D30">
        <f>IFERROR(VLOOKUP(B30,[1]Planilha1!$B$2:$F$58,4,FALSE),0)</f>
        <v>9</v>
      </c>
      <c r="E30">
        <f>IFERROR(VLOOKUP(B30,[1]Planilha1!$B$2:$F$58,5,FALSE),0)</f>
        <v>0</v>
      </c>
      <c r="F30">
        <f t="shared" si="1"/>
        <v>9</v>
      </c>
      <c r="G30" t="s">
        <v>10</v>
      </c>
    </row>
    <row r="31" spans="1:8" x14ac:dyDescent="0.25">
      <c r="A31" s="5">
        <v>46171</v>
      </c>
      <c r="B31" t="s">
        <v>39</v>
      </c>
      <c r="C31" t="str">
        <f t="shared" si="0"/>
        <v>Sim</v>
      </c>
      <c r="D31">
        <f>IFERROR(VLOOKUP(B31,[1]Planilha1!$B$2:$F$58,4,FALSE),0)</f>
        <v>0</v>
      </c>
      <c r="E31">
        <f>IFERROR(VLOOKUP(B31,[1]Planilha1!$B$2:$F$58,5,FALSE),0)</f>
        <v>13</v>
      </c>
      <c r="F31">
        <f t="shared" si="1"/>
        <v>13</v>
      </c>
      <c r="G31" t="s">
        <v>10</v>
      </c>
    </row>
    <row r="32" spans="1:8" x14ac:dyDescent="0.25">
      <c r="A32" s="5">
        <v>46171</v>
      </c>
      <c r="B32" t="s">
        <v>40</v>
      </c>
      <c r="C32" t="str">
        <f t="shared" si="0"/>
        <v>Sim</v>
      </c>
      <c r="D32">
        <f>IFERROR(VLOOKUP(B32,[1]Planilha1!$B$2:$F$58,4,FALSE),0)</f>
        <v>2</v>
      </c>
      <c r="E32">
        <f>IFERROR(VLOOKUP(B32,[1]Planilha1!$B$2:$F$58,5,FALSE),0)</f>
        <v>0</v>
      </c>
      <c r="F32">
        <f t="shared" si="1"/>
        <v>2</v>
      </c>
      <c r="G32" t="s">
        <v>10</v>
      </c>
    </row>
    <row r="33" spans="1:7" x14ac:dyDescent="0.25">
      <c r="A33" s="5">
        <v>46171</v>
      </c>
      <c r="B33" t="s">
        <v>41</v>
      </c>
      <c r="C33" t="str">
        <f t="shared" si="0"/>
        <v>Sim</v>
      </c>
      <c r="D33">
        <f>IFERROR(VLOOKUP(B33,[1]Planilha1!$B$2:$F$58,4,FALSE),0)</f>
        <v>10</v>
      </c>
      <c r="E33">
        <f>IFERROR(VLOOKUP(B33,[1]Planilha1!$B$2:$F$58,5,FALSE),0)</f>
        <v>6</v>
      </c>
      <c r="F33">
        <f t="shared" si="1"/>
        <v>16</v>
      </c>
      <c r="G33" t="s">
        <v>10</v>
      </c>
    </row>
    <row r="34" spans="1:7" x14ac:dyDescent="0.25">
      <c r="A34" s="5">
        <v>46171</v>
      </c>
      <c r="B34" t="s">
        <v>42</v>
      </c>
      <c r="C34" t="str">
        <f t="shared" ref="C34:C63" si="2">IF(F34&lt;=0,"Não",IF(F34&gt;=1,"Sim"))</f>
        <v>Sim</v>
      </c>
      <c r="D34">
        <f>IFERROR(VLOOKUP(B34,[1]Planilha1!$B$2:$F$58,4,FALSE),0)</f>
        <v>3</v>
      </c>
      <c r="E34">
        <f>IFERROR(VLOOKUP(B34,[1]Planilha1!$B$2:$F$58,5,FALSE),0)</f>
        <v>6</v>
      </c>
      <c r="F34">
        <f t="shared" ref="F34:F63" si="3">D34+E34</f>
        <v>9</v>
      </c>
      <c r="G34" t="s">
        <v>10</v>
      </c>
    </row>
    <row r="35" spans="1:7" x14ac:dyDescent="0.25">
      <c r="A35" s="5">
        <v>46171</v>
      </c>
      <c r="B35" t="s">
        <v>43</v>
      </c>
      <c r="C35" t="str">
        <f t="shared" si="2"/>
        <v>Sim</v>
      </c>
      <c r="D35">
        <f>IFERROR(VLOOKUP(B35,[1]Planilha1!$B$2:$F$58,4,FALSE),0)</f>
        <v>3</v>
      </c>
      <c r="E35">
        <f>IFERROR(VLOOKUP(B35,[1]Planilha1!$B$2:$F$58,5,FALSE),0)</f>
        <v>0</v>
      </c>
      <c r="F35">
        <f t="shared" si="3"/>
        <v>3</v>
      </c>
      <c r="G35" t="s">
        <v>10</v>
      </c>
    </row>
    <row r="36" spans="1:7" x14ac:dyDescent="0.25">
      <c r="A36" s="5">
        <v>46171</v>
      </c>
      <c r="B36" t="s">
        <v>44</v>
      </c>
      <c r="C36" t="str">
        <f t="shared" si="2"/>
        <v>Sim</v>
      </c>
      <c r="D36">
        <f>IFERROR(VLOOKUP(B36,[1]Planilha1!$B$2:$F$58,4,FALSE),0)</f>
        <v>2</v>
      </c>
      <c r="E36">
        <f>IFERROR(VLOOKUP(B36,[1]Planilha1!$B$2:$F$58,5,FALSE),0)</f>
        <v>0</v>
      </c>
      <c r="F36">
        <f t="shared" si="3"/>
        <v>2</v>
      </c>
      <c r="G36" t="s">
        <v>10</v>
      </c>
    </row>
    <row r="37" spans="1:7" x14ac:dyDescent="0.25">
      <c r="A37" s="5">
        <v>46171</v>
      </c>
      <c r="B37" t="s">
        <v>45</v>
      </c>
      <c r="C37" t="str">
        <f t="shared" si="2"/>
        <v>Sim</v>
      </c>
      <c r="D37">
        <f>IFERROR(VLOOKUP(B37,[1]Planilha1!$B$2:$F$58,4,FALSE),0)</f>
        <v>8</v>
      </c>
      <c r="E37">
        <f>IFERROR(VLOOKUP(B37,[1]Planilha1!$B$2:$F$58,5,FALSE),0)</f>
        <v>0</v>
      </c>
      <c r="F37">
        <f t="shared" si="3"/>
        <v>8</v>
      </c>
      <c r="G37" t="s">
        <v>10</v>
      </c>
    </row>
    <row r="38" spans="1:7" x14ac:dyDescent="0.25">
      <c r="A38" s="5">
        <v>46171</v>
      </c>
      <c r="B38" t="s">
        <v>46</v>
      </c>
      <c r="C38" t="str">
        <f t="shared" si="2"/>
        <v>Sim</v>
      </c>
      <c r="D38">
        <f>IFERROR(VLOOKUP(B38,[1]Planilha1!$B$2:$F$58,4,FALSE),0)</f>
        <v>11</v>
      </c>
      <c r="E38">
        <f>IFERROR(VLOOKUP(B38,[1]Planilha1!$B$2:$F$58,5,FALSE),0)</f>
        <v>0</v>
      </c>
      <c r="F38">
        <f t="shared" si="3"/>
        <v>11</v>
      </c>
      <c r="G38" t="s">
        <v>10</v>
      </c>
    </row>
    <row r="39" spans="1:7" x14ac:dyDescent="0.25">
      <c r="A39" s="5">
        <v>46171</v>
      </c>
      <c r="B39" t="s">
        <v>47</v>
      </c>
      <c r="C39" t="str">
        <f t="shared" si="2"/>
        <v>Não</v>
      </c>
      <c r="D39">
        <f>IFERROR(VLOOKUP(B39,[1]Planilha1!$B$2:$F$58,4,FALSE),0)</f>
        <v>0</v>
      </c>
      <c r="E39">
        <f>IFERROR(VLOOKUP(B39,[1]Planilha1!$B$2:$F$58,5,FALSE),0)</f>
        <v>0</v>
      </c>
      <c r="F39">
        <f t="shared" si="3"/>
        <v>0</v>
      </c>
      <c r="G39" t="s">
        <v>10</v>
      </c>
    </row>
    <row r="40" spans="1:7" x14ac:dyDescent="0.25">
      <c r="A40" s="5">
        <v>46171</v>
      </c>
      <c r="B40" t="s">
        <v>48</v>
      </c>
      <c r="C40" t="str">
        <f t="shared" si="2"/>
        <v>Não</v>
      </c>
      <c r="D40">
        <f>IFERROR(VLOOKUP(B40,[1]Planilha1!$B$2:$F$58,4,FALSE),0)</f>
        <v>0</v>
      </c>
      <c r="E40">
        <f>IFERROR(VLOOKUP(B40,[1]Planilha1!$B$2:$F$58,5,FALSE),0)</f>
        <v>0</v>
      </c>
      <c r="F40">
        <f t="shared" si="3"/>
        <v>0</v>
      </c>
      <c r="G40" t="s">
        <v>10</v>
      </c>
    </row>
    <row r="41" spans="1:7" x14ac:dyDescent="0.25">
      <c r="A41" s="5">
        <v>46171</v>
      </c>
      <c r="B41" t="s">
        <v>49</v>
      </c>
      <c r="C41" t="str">
        <f t="shared" si="2"/>
        <v>Sim</v>
      </c>
      <c r="D41">
        <f>IFERROR(VLOOKUP(B41,[1]Planilha1!$B$2:$F$58,4,FALSE),0)</f>
        <v>5</v>
      </c>
      <c r="E41">
        <f>IFERROR(VLOOKUP(B41,[1]Planilha1!$B$2:$F$58,5,FALSE),0)</f>
        <v>2</v>
      </c>
      <c r="F41">
        <f t="shared" si="3"/>
        <v>7</v>
      </c>
      <c r="G41" t="s">
        <v>10</v>
      </c>
    </row>
    <row r="42" spans="1:7" x14ac:dyDescent="0.25">
      <c r="A42" s="5">
        <v>46171</v>
      </c>
      <c r="B42" t="s">
        <v>50</v>
      </c>
      <c r="C42" t="str">
        <f t="shared" si="2"/>
        <v>Sim</v>
      </c>
      <c r="D42">
        <f>IFERROR(VLOOKUP(B42,[1]Planilha1!$B$2:$F$58,4,FALSE),0)</f>
        <v>7</v>
      </c>
      <c r="E42">
        <f>IFERROR(VLOOKUP(B42,[1]Planilha1!$B$2:$F$58,5,FALSE),0)</f>
        <v>0</v>
      </c>
      <c r="F42">
        <f t="shared" si="3"/>
        <v>7</v>
      </c>
      <c r="G42" t="s">
        <v>10</v>
      </c>
    </row>
    <row r="43" spans="1:7" x14ac:dyDescent="0.25">
      <c r="A43" s="5">
        <v>46171</v>
      </c>
      <c r="B43" t="s">
        <v>51</v>
      </c>
      <c r="C43" t="str">
        <f t="shared" si="2"/>
        <v>Sim</v>
      </c>
      <c r="D43">
        <f>IFERROR(VLOOKUP(B43,[1]Planilha1!$B$2:$F$58,4,FALSE),0)</f>
        <v>1</v>
      </c>
      <c r="E43">
        <f>IFERROR(VLOOKUP(B43,[1]Planilha1!$B$2:$F$58,5,FALSE),0)</f>
        <v>0</v>
      </c>
      <c r="F43">
        <f t="shared" si="3"/>
        <v>1</v>
      </c>
      <c r="G43" t="s">
        <v>10</v>
      </c>
    </row>
    <row r="44" spans="1:7" x14ac:dyDescent="0.25">
      <c r="A44" s="5">
        <v>46171</v>
      </c>
      <c r="B44" t="s">
        <v>52</v>
      </c>
      <c r="C44" t="str">
        <f t="shared" si="2"/>
        <v>Sim</v>
      </c>
      <c r="D44">
        <f>IFERROR(VLOOKUP(B44,[1]Planilha1!$B$2:$F$58,4,FALSE),0)</f>
        <v>7</v>
      </c>
      <c r="E44">
        <f>IFERROR(VLOOKUP(B44,[1]Planilha1!$B$2:$F$58,5,FALSE),0)</f>
        <v>4</v>
      </c>
      <c r="F44">
        <f t="shared" si="3"/>
        <v>11</v>
      </c>
      <c r="G44" t="s">
        <v>10</v>
      </c>
    </row>
    <row r="45" spans="1:7" x14ac:dyDescent="0.25">
      <c r="A45" s="5">
        <v>46171</v>
      </c>
      <c r="B45" t="s">
        <v>53</v>
      </c>
      <c r="C45" t="str">
        <f t="shared" si="2"/>
        <v>Sim</v>
      </c>
      <c r="D45">
        <f>IFERROR(VLOOKUP(B45,[1]Planilha1!$B$2:$F$58,4,FALSE),0)</f>
        <v>2</v>
      </c>
      <c r="E45">
        <f>IFERROR(VLOOKUP(B45,[1]Planilha1!$B$2:$F$58,5,FALSE),0)</f>
        <v>0</v>
      </c>
      <c r="F45">
        <f t="shared" si="3"/>
        <v>2</v>
      </c>
      <c r="G45" t="s">
        <v>10</v>
      </c>
    </row>
    <row r="46" spans="1:7" x14ac:dyDescent="0.25">
      <c r="A46" s="5">
        <v>46171</v>
      </c>
      <c r="B46" t="s">
        <v>54</v>
      </c>
      <c r="C46" t="str">
        <f t="shared" si="2"/>
        <v>Sim</v>
      </c>
      <c r="D46">
        <f>IFERROR(VLOOKUP(B46,[1]Planilha1!$B$2:$F$58,4,FALSE),0)</f>
        <v>5</v>
      </c>
      <c r="E46">
        <f>IFERROR(VLOOKUP(B46,[1]Planilha1!$B$2:$F$58,5,FALSE),0)</f>
        <v>5</v>
      </c>
      <c r="F46">
        <f t="shared" si="3"/>
        <v>10</v>
      </c>
      <c r="G46" t="s">
        <v>10</v>
      </c>
    </row>
    <row r="47" spans="1:7" x14ac:dyDescent="0.25">
      <c r="A47" s="5">
        <v>46171</v>
      </c>
      <c r="B47" t="s">
        <v>55</v>
      </c>
      <c r="C47" t="str">
        <f t="shared" si="2"/>
        <v>Sim</v>
      </c>
      <c r="D47">
        <f>IFERROR(VLOOKUP(B47,[1]Planilha1!$B$2:$F$58,4,FALSE),0)</f>
        <v>4</v>
      </c>
      <c r="E47">
        <f>IFERROR(VLOOKUP(B47,[1]Planilha1!$B$2:$F$58,5,FALSE),0)</f>
        <v>0</v>
      </c>
      <c r="F47">
        <f t="shared" si="3"/>
        <v>4</v>
      </c>
    </row>
    <row r="48" spans="1:7" x14ac:dyDescent="0.25">
      <c r="A48" s="5">
        <v>46171</v>
      </c>
      <c r="B48" t="s">
        <v>56</v>
      </c>
      <c r="C48" t="str">
        <f t="shared" si="2"/>
        <v>Sim</v>
      </c>
      <c r="D48">
        <f>IFERROR(VLOOKUP(B48,[1]Planilha1!$B$2:$F$58,4,FALSE),0)</f>
        <v>3</v>
      </c>
      <c r="E48">
        <f>IFERROR(VLOOKUP(B48,[1]Planilha1!$B$2:$F$58,5,FALSE),0)</f>
        <v>0</v>
      </c>
      <c r="F48">
        <f t="shared" si="3"/>
        <v>3</v>
      </c>
    </row>
    <row r="49" spans="1:6" x14ac:dyDescent="0.25">
      <c r="A49" s="5">
        <v>46171</v>
      </c>
      <c r="B49" t="s">
        <v>57</v>
      </c>
      <c r="C49" t="str">
        <f t="shared" si="2"/>
        <v>Não</v>
      </c>
      <c r="D49">
        <f>IFERROR(VLOOKUP(B49,[1]Planilha1!$B$2:$F$58,4,FALSE),0)</f>
        <v>0</v>
      </c>
      <c r="E49">
        <f>IFERROR(VLOOKUP(B49,[1]Planilha1!$B$2:$F$58,5,FALSE),0)</f>
        <v>0</v>
      </c>
      <c r="F49">
        <f t="shared" si="3"/>
        <v>0</v>
      </c>
    </row>
    <row r="50" spans="1:6" x14ac:dyDescent="0.25">
      <c r="A50" s="5">
        <v>46171</v>
      </c>
      <c r="B50" t="s">
        <v>58</v>
      </c>
      <c r="C50" t="str">
        <f t="shared" si="2"/>
        <v>Sim</v>
      </c>
      <c r="D50">
        <f>IFERROR(VLOOKUP(B50,[1]Planilha1!$B$2:$F$58,4,FALSE),0)</f>
        <v>7</v>
      </c>
      <c r="E50">
        <f>IFERROR(VLOOKUP(B50,[1]Planilha1!$B$2:$F$58,5,FALSE),0)</f>
        <v>2</v>
      </c>
      <c r="F50">
        <f t="shared" si="3"/>
        <v>9</v>
      </c>
    </row>
    <row r="51" spans="1:6" x14ac:dyDescent="0.25">
      <c r="A51" s="5">
        <v>46171</v>
      </c>
      <c r="B51" t="s">
        <v>59</v>
      </c>
      <c r="C51" t="str">
        <f t="shared" si="2"/>
        <v>Sim</v>
      </c>
      <c r="D51">
        <f>IFERROR(VLOOKUP(B51,[1]Planilha1!$B$2:$F$58,4,FALSE),0)</f>
        <v>16</v>
      </c>
      <c r="E51">
        <f>IFERROR(VLOOKUP(B51,[1]Planilha1!$B$2:$F$58,5,FALSE),0)</f>
        <v>0</v>
      </c>
      <c r="F51">
        <f t="shared" si="3"/>
        <v>16</v>
      </c>
    </row>
    <row r="52" spans="1:6" x14ac:dyDescent="0.25">
      <c r="A52" s="5">
        <v>46171</v>
      </c>
      <c r="B52" t="s">
        <v>60</v>
      </c>
      <c r="C52" t="str">
        <f t="shared" si="2"/>
        <v>Sim</v>
      </c>
      <c r="D52">
        <f>IFERROR(VLOOKUP(B52,[1]Planilha1!$B$2:$F$58,4,FALSE),0)</f>
        <v>19</v>
      </c>
      <c r="E52">
        <f>IFERROR(VLOOKUP(B52,[1]Planilha1!$B$2:$F$58,5,FALSE),0)</f>
        <v>0</v>
      </c>
      <c r="F52">
        <f t="shared" si="3"/>
        <v>19</v>
      </c>
    </row>
    <row r="53" spans="1:6" x14ac:dyDescent="0.25">
      <c r="A53" s="5">
        <v>46171</v>
      </c>
      <c r="B53" t="s">
        <v>61</v>
      </c>
      <c r="C53" t="str">
        <f t="shared" si="2"/>
        <v>Sim</v>
      </c>
      <c r="D53">
        <f>IFERROR(VLOOKUP(B53,[1]Planilha1!$B$2:$F$58,4,FALSE),0)</f>
        <v>17</v>
      </c>
      <c r="E53">
        <f>IFERROR(VLOOKUP(B53,[1]Planilha1!$B$2:$F$58,5,FALSE),0)</f>
        <v>5</v>
      </c>
      <c r="F53">
        <f t="shared" si="3"/>
        <v>22</v>
      </c>
    </row>
    <row r="54" spans="1:6" x14ac:dyDescent="0.25">
      <c r="A54" s="5">
        <v>46171</v>
      </c>
      <c r="B54" t="s">
        <v>62</v>
      </c>
      <c r="C54" t="str">
        <f t="shared" si="2"/>
        <v>Sim</v>
      </c>
      <c r="D54">
        <f>IFERROR(VLOOKUP(B54,[1]Planilha1!$B$2:$F$58,4,FALSE),0)</f>
        <v>3</v>
      </c>
      <c r="E54">
        <f>IFERROR(VLOOKUP(B54,[1]Planilha1!$B$2:$F$58,5,FALSE),0)</f>
        <v>4</v>
      </c>
      <c r="F54">
        <f t="shared" si="3"/>
        <v>7</v>
      </c>
    </row>
    <row r="55" spans="1:6" x14ac:dyDescent="0.25">
      <c r="A55" s="5">
        <v>46171</v>
      </c>
      <c r="B55" t="s">
        <v>63</v>
      </c>
      <c r="C55" t="str">
        <f t="shared" si="2"/>
        <v>Sim</v>
      </c>
      <c r="D55">
        <f>IFERROR(VLOOKUP(B55,[1]Planilha1!$B$2:$F$58,4,FALSE),0)</f>
        <v>2</v>
      </c>
      <c r="E55">
        <f>IFERROR(VLOOKUP(B55,[1]Planilha1!$B$2:$F$58,5,FALSE),0)</f>
        <v>0</v>
      </c>
      <c r="F55">
        <f t="shared" si="3"/>
        <v>2</v>
      </c>
    </row>
    <row r="56" spans="1:6" x14ac:dyDescent="0.25">
      <c r="A56" s="5">
        <v>46171</v>
      </c>
      <c r="B56" t="s">
        <v>64</v>
      </c>
      <c r="C56" t="str">
        <f t="shared" si="2"/>
        <v>Sim</v>
      </c>
      <c r="D56">
        <f>IFERROR(VLOOKUP(B56,[1]Planilha1!$B$2:$F$58,4,FALSE),0)</f>
        <v>3</v>
      </c>
      <c r="E56">
        <f>IFERROR(VLOOKUP(B56,[1]Planilha1!$B$2:$F$58,5,FALSE),0)</f>
        <v>2</v>
      </c>
      <c r="F56">
        <f t="shared" si="3"/>
        <v>5</v>
      </c>
    </row>
    <row r="57" spans="1:6" x14ac:dyDescent="0.25">
      <c r="A57" s="5">
        <v>46171</v>
      </c>
      <c r="B57" t="s">
        <v>65</v>
      </c>
      <c r="C57" t="str">
        <f t="shared" si="2"/>
        <v>Sim</v>
      </c>
      <c r="D57">
        <f>IFERROR(VLOOKUP(B57,[1]Planilha1!$B$2:$F$58,4,FALSE),0)</f>
        <v>7</v>
      </c>
      <c r="E57">
        <f>IFERROR(VLOOKUP(B57,[1]Planilha1!$B$2:$F$58,5,FALSE),0)</f>
        <v>0</v>
      </c>
      <c r="F57">
        <f t="shared" si="3"/>
        <v>7</v>
      </c>
    </row>
    <row r="58" spans="1:6" x14ac:dyDescent="0.25">
      <c r="A58" s="5">
        <v>46171</v>
      </c>
      <c r="B58" t="s">
        <v>66</v>
      </c>
      <c r="C58" t="str">
        <f t="shared" si="2"/>
        <v>Não</v>
      </c>
      <c r="D58">
        <f>IFERROR(VLOOKUP(B58,[1]Planilha1!$B$2:$F$58,4,FALSE),0)</f>
        <v>0</v>
      </c>
      <c r="E58">
        <f>IFERROR(VLOOKUP(B58,[1]Planilha1!$B$2:$F$58,5,FALSE),0)</f>
        <v>0</v>
      </c>
      <c r="F58">
        <f t="shared" si="3"/>
        <v>0</v>
      </c>
    </row>
    <row r="59" spans="1:6" x14ac:dyDescent="0.25">
      <c r="A59" s="5">
        <v>46171</v>
      </c>
      <c r="B59" t="s">
        <v>67</v>
      </c>
      <c r="C59" t="str">
        <f t="shared" si="2"/>
        <v>Sim</v>
      </c>
      <c r="D59">
        <f>IFERROR(VLOOKUP(B59,[1]Planilha1!$B$2:$F$58,4,FALSE),0)</f>
        <v>4</v>
      </c>
      <c r="E59">
        <f>IFERROR(VLOOKUP(B59,[1]Planilha1!$B$2:$F$58,5,FALSE),0)</f>
        <v>4</v>
      </c>
      <c r="F59">
        <f t="shared" si="3"/>
        <v>8</v>
      </c>
    </row>
    <row r="60" spans="1:6" x14ac:dyDescent="0.25">
      <c r="A60" s="5">
        <v>46171</v>
      </c>
      <c r="B60" t="s">
        <v>68</v>
      </c>
      <c r="C60" t="str">
        <f t="shared" si="2"/>
        <v>Não</v>
      </c>
      <c r="D60">
        <f>IFERROR(VLOOKUP(B60,[1]Planilha1!$B$2:$F$58,4,FALSE),0)</f>
        <v>0</v>
      </c>
      <c r="E60">
        <f>IFERROR(VLOOKUP(B60,[1]Planilha1!$B$2:$F$58,5,FALSE),0)</f>
        <v>0</v>
      </c>
      <c r="F60">
        <f t="shared" si="3"/>
        <v>0</v>
      </c>
    </row>
    <row r="61" spans="1:6" x14ac:dyDescent="0.25">
      <c r="A61" s="5">
        <v>46171</v>
      </c>
      <c r="B61" t="s">
        <v>69</v>
      </c>
      <c r="C61" t="str">
        <f t="shared" si="2"/>
        <v>Sim</v>
      </c>
      <c r="D61">
        <f>IFERROR(VLOOKUP(B61,[1]Planilha1!$B$2:$F$58,4,FALSE),0)</f>
        <v>3</v>
      </c>
      <c r="E61">
        <f>IFERROR(VLOOKUP(B61,[1]Planilha1!$B$2:$F$58,5,FALSE),0)</f>
        <v>1</v>
      </c>
      <c r="F61">
        <f t="shared" si="3"/>
        <v>4</v>
      </c>
    </row>
    <row r="62" spans="1:6" x14ac:dyDescent="0.25">
      <c r="A62" s="5">
        <v>46171</v>
      </c>
      <c r="B62" t="s">
        <v>70</v>
      </c>
      <c r="C62" t="str">
        <f t="shared" si="2"/>
        <v>Sim</v>
      </c>
      <c r="D62">
        <f>IFERROR(VLOOKUP(B62,[1]Planilha1!$B$2:$F$58,4,FALSE),0)</f>
        <v>7</v>
      </c>
      <c r="E62">
        <f>IFERROR(VLOOKUP(B62,[1]Planilha1!$B$2:$F$58,5,FALSE),0)</f>
        <v>6</v>
      </c>
      <c r="F62">
        <f t="shared" si="3"/>
        <v>13</v>
      </c>
    </row>
    <row r="63" spans="1:6" x14ac:dyDescent="0.25">
      <c r="A63" s="5">
        <v>46171</v>
      </c>
      <c r="B63" t="s">
        <v>71</v>
      </c>
      <c r="C63" t="str">
        <f t="shared" si="2"/>
        <v>Não</v>
      </c>
      <c r="D63">
        <f>IFERROR(VLOOKUP(B63,[1]Planilha1!$B$2:$F$58,4,FALSE),0)</f>
        <v>0</v>
      </c>
      <c r="E63">
        <f>IFERROR(VLOOKUP(B63,[1]Planilha1!$B$2:$F$58,5,FALSE),0)</f>
        <v>0</v>
      </c>
      <c r="F63">
        <f t="shared" si="3"/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H4" sqref="H4"/>
    </sheetView>
  </sheetViews>
  <sheetFormatPr defaultRowHeight="15" x14ac:dyDescent="0.25"/>
  <cols>
    <col min="1" max="1" width="10.42578125" bestFit="1" customWidth="1"/>
    <col min="2" max="2" width="9.7109375" bestFit="1" customWidth="1"/>
    <col min="3" max="3" width="8.7109375" bestFit="1" customWidth="1"/>
    <col min="4" max="4" width="9.85546875" bestFit="1" customWidth="1"/>
    <col min="5" max="5" width="14.5703125" bestFit="1" customWidth="1"/>
    <col min="6" max="6" width="7.85546875" bestFit="1" customWidth="1"/>
    <col min="7" max="7" width="12.140625" bestFit="1" customWidth="1"/>
    <col min="8" max="8" width="22.85546875" bestFit="1" customWidth="1"/>
  </cols>
  <sheetData>
    <row r="1" spans="1:8" x14ac:dyDescent="0.25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 x14ac:dyDescent="0.25">
      <c r="A2" s="4">
        <v>46182</v>
      </c>
      <c r="B2" t="s">
        <v>79</v>
      </c>
      <c r="C2">
        <f>SUM(D2:E2)</f>
        <v>196</v>
      </c>
      <c r="D2">
        <v>185</v>
      </c>
      <c r="E2">
        <v>11</v>
      </c>
      <c r="F2">
        <v>105</v>
      </c>
      <c r="G2">
        <v>105</v>
      </c>
      <c r="H2" t="s">
        <v>90</v>
      </c>
    </row>
    <row r="3" spans="1:8" x14ac:dyDescent="0.25">
      <c r="A3" s="4">
        <v>46182</v>
      </c>
      <c r="B3" t="s">
        <v>80</v>
      </c>
      <c r="C3">
        <f t="shared" ref="C3:C5" si="0">SUM(D3:E3)</f>
        <v>134</v>
      </c>
      <c r="D3">
        <v>131</v>
      </c>
      <c r="E3">
        <v>3</v>
      </c>
      <c r="F3">
        <v>293</v>
      </c>
      <c r="G3">
        <v>293</v>
      </c>
      <c r="H3" t="s">
        <v>89</v>
      </c>
    </row>
    <row r="4" spans="1:8" x14ac:dyDescent="0.25">
      <c r="A4" s="4">
        <v>46182</v>
      </c>
      <c r="B4" t="s">
        <v>81</v>
      </c>
      <c r="C4">
        <f t="shared" si="0"/>
        <v>229</v>
      </c>
      <c r="D4">
        <v>201</v>
      </c>
      <c r="E4">
        <v>28</v>
      </c>
      <c r="F4">
        <v>149</v>
      </c>
      <c r="G4">
        <v>149</v>
      </c>
      <c r="H4" t="s">
        <v>89</v>
      </c>
    </row>
    <row r="5" spans="1:8" x14ac:dyDescent="0.25">
      <c r="A5" s="4">
        <v>46182</v>
      </c>
      <c r="B5" t="s">
        <v>82</v>
      </c>
      <c r="C5">
        <f t="shared" si="0"/>
        <v>245</v>
      </c>
      <c r="D5">
        <v>235</v>
      </c>
      <c r="E5">
        <v>10</v>
      </c>
      <c r="F5">
        <v>125</v>
      </c>
      <c r="G5">
        <v>125</v>
      </c>
      <c r="H5" t="s">
        <v>88</v>
      </c>
    </row>
  </sheetData>
  <pageMargins left="0.511811024" right="0.511811024" top="0.78740157499999996" bottom="0.78740157499999996" header="0.31496062000000002" footer="0.31496062000000002"/>
  <ignoredErrors>
    <ignoredError sqref="C2:C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"/>
  <sheetViews>
    <sheetView tabSelected="1" workbookViewId="0">
      <selection activeCell="M27" sqref="M27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83</v>
      </c>
      <c r="E1" t="s">
        <v>5</v>
      </c>
    </row>
    <row r="2" spans="1:5" x14ac:dyDescent="0.25">
      <c r="A2" s="4">
        <v>46182</v>
      </c>
      <c r="B2" t="s">
        <v>9</v>
      </c>
      <c r="C2">
        <v>49</v>
      </c>
      <c r="D2">
        <v>49</v>
      </c>
      <c r="E2">
        <f t="shared" ref="E2:E33" si="0">SUM(C2:D2)</f>
        <v>98</v>
      </c>
    </row>
    <row r="3" spans="1:5" x14ac:dyDescent="0.25">
      <c r="A3" s="4">
        <v>46182</v>
      </c>
      <c r="B3" t="s">
        <v>11</v>
      </c>
      <c r="C3">
        <v>40</v>
      </c>
      <c r="D3">
        <v>40</v>
      </c>
      <c r="E3">
        <f t="shared" si="0"/>
        <v>80</v>
      </c>
    </row>
    <row r="4" spans="1:5" x14ac:dyDescent="0.25">
      <c r="A4" s="4">
        <v>46182</v>
      </c>
      <c r="B4" t="s">
        <v>12</v>
      </c>
      <c r="C4">
        <v>27</v>
      </c>
      <c r="D4">
        <v>24</v>
      </c>
      <c r="E4">
        <f t="shared" si="0"/>
        <v>51</v>
      </c>
    </row>
    <row r="5" spans="1:5" x14ac:dyDescent="0.25">
      <c r="A5" s="4">
        <v>46182</v>
      </c>
      <c r="B5" t="s">
        <v>13</v>
      </c>
      <c r="C5">
        <v>101</v>
      </c>
      <c r="D5">
        <v>101</v>
      </c>
      <c r="E5">
        <f t="shared" si="0"/>
        <v>202</v>
      </c>
    </row>
    <row r="6" spans="1:5" x14ac:dyDescent="0.25">
      <c r="A6" s="4">
        <v>46182</v>
      </c>
      <c r="B6" t="s">
        <v>14</v>
      </c>
      <c r="C6">
        <v>40</v>
      </c>
      <c r="D6">
        <v>29</v>
      </c>
      <c r="E6">
        <f t="shared" si="0"/>
        <v>69</v>
      </c>
    </row>
    <row r="7" spans="1:5" x14ac:dyDescent="0.25">
      <c r="A7" s="4">
        <v>46182</v>
      </c>
      <c r="B7" t="s">
        <v>15</v>
      </c>
      <c r="C7">
        <v>50</v>
      </c>
      <c r="D7">
        <v>50</v>
      </c>
      <c r="E7">
        <f t="shared" si="0"/>
        <v>100</v>
      </c>
    </row>
    <row r="8" spans="1:5" x14ac:dyDescent="0.25">
      <c r="A8" s="4">
        <v>46182</v>
      </c>
      <c r="B8" t="s">
        <v>91</v>
      </c>
      <c r="C8">
        <v>40</v>
      </c>
      <c r="D8">
        <v>40</v>
      </c>
      <c r="E8">
        <f t="shared" si="0"/>
        <v>80</v>
      </c>
    </row>
    <row r="9" spans="1:5" x14ac:dyDescent="0.25">
      <c r="A9" s="4">
        <v>46182</v>
      </c>
      <c r="B9" t="s">
        <v>16</v>
      </c>
      <c r="C9">
        <v>14</v>
      </c>
      <c r="D9">
        <v>0</v>
      </c>
      <c r="E9">
        <f t="shared" si="0"/>
        <v>14</v>
      </c>
    </row>
    <row r="10" spans="1:5" x14ac:dyDescent="0.25">
      <c r="A10" s="4">
        <v>46182</v>
      </c>
      <c r="B10" t="s">
        <v>17</v>
      </c>
      <c r="C10">
        <v>12</v>
      </c>
      <c r="D10">
        <v>12</v>
      </c>
      <c r="E10">
        <f t="shared" si="0"/>
        <v>24</v>
      </c>
    </row>
    <row r="11" spans="1:5" x14ac:dyDescent="0.25">
      <c r="A11" s="4">
        <v>46182</v>
      </c>
      <c r="B11" t="s">
        <v>18</v>
      </c>
      <c r="C11">
        <v>31</v>
      </c>
      <c r="D11">
        <v>17</v>
      </c>
      <c r="E11">
        <f t="shared" si="0"/>
        <v>48</v>
      </c>
    </row>
    <row r="12" spans="1:5" x14ac:dyDescent="0.25">
      <c r="A12" s="4">
        <v>46182</v>
      </c>
      <c r="B12" t="s">
        <v>19</v>
      </c>
      <c r="C12">
        <v>19</v>
      </c>
      <c r="D12">
        <v>16</v>
      </c>
      <c r="E12">
        <f t="shared" si="0"/>
        <v>35</v>
      </c>
    </row>
    <row r="13" spans="1:5" x14ac:dyDescent="0.25">
      <c r="A13" s="4">
        <v>46182</v>
      </c>
      <c r="B13" t="s">
        <v>20</v>
      </c>
      <c r="C13">
        <v>18</v>
      </c>
      <c r="D13">
        <v>7</v>
      </c>
      <c r="E13">
        <f t="shared" si="0"/>
        <v>25</v>
      </c>
    </row>
    <row r="14" spans="1:5" x14ac:dyDescent="0.25">
      <c r="A14" s="4">
        <v>46182</v>
      </c>
      <c r="B14" t="s">
        <v>21</v>
      </c>
      <c r="C14">
        <v>22</v>
      </c>
      <c r="D14">
        <v>21</v>
      </c>
      <c r="E14">
        <f t="shared" si="0"/>
        <v>43</v>
      </c>
    </row>
    <row r="15" spans="1:5" x14ac:dyDescent="0.25">
      <c r="A15" s="4">
        <v>46182</v>
      </c>
      <c r="B15" t="s">
        <v>22</v>
      </c>
      <c r="C15">
        <v>12</v>
      </c>
      <c r="D15">
        <v>11</v>
      </c>
      <c r="E15">
        <f t="shared" si="0"/>
        <v>23</v>
      </c>
    </row>
    <row r="16" spans="1:5" x14ac:dyDescent="0.25">
      <c r="A16" s="4">
        <v>46182</v>
      </c>
      <c r="B16" t="s">
        <v>23</v>
      </c>
      <c r="C16">
        <v>39</v>
      </c>
      <c r="D16">
        <v>36</v>
      </c>
      <c r="E16">
        <f t="shared" si="0"/>
        <v>75</v>
      </c>
    </row>
    <row r="17" spans="1:5" x14ac:dyDescent="0.25">
      <c r="A17" s="4">
        <v>46182</v>
      </c>
      <c r="B17" t="s">
        <v>24</v>
      </c>
      <c r="C17">
        <v>77</v>
      </c>
      <c r="D17">
        <v>76</v>
      </c>
      <c r="E17">
        <f t="shared" si="0"/>
        <v>153</v>
      </c>
    </row>
    <row r="18" spans="1:5" x14ac:dyDescent="0.25">
      <c r="A18" s="4">
        <v>46182</v>
      </c>
      <c r="B18" t="s">
        <v>25</v>
      </c>
      <c r="C18">
        <v>64</v>
      </c>
      <c r="D18">
        <v>60</v>
      </c>
      <c r="E18">
        <f t="shared" si="0"/>
        <v>124</v>
      </c>
    </row>
    <row r="19" spans="1:5" x14ac:dyDescent="0.25">
      <c r="A19" s="4">
        <v>46182</v>
      </c>
      <c r="B19" t="s">
        <v>26</v>
      </c>
      <c r="C19">
        <v>21</v>
      </c>
      <c r="D19">
        <v>21</v>
      </c>
      <c r="E19">
        <f t="shared" si="0"/>
        <v>42</v>
      </c>
    </row>
    <row r="20" spans="1:5" x14ac:dyDescent="0.25">
      <c r="A20" s="4">
        <v>46182</v>
      </c>
      <c r="B20" t="s">
        <v>27</v>
      </c>
      <c r="C20">
        <v>92</v>
      </c>
      <c r="D20">
        <v>85</v>
      </c>
      <c r="E20">
        <f t="shared" si="0"/>
        <v>177</v>
      </c>
    </row>
    <row r="21" spans="1:5" x14ac:dyDescent="0.25">
      <c r="A21" s="4">
        <v>46182</v>
      </c>
      <c r="B21" t="s">
        <v>28</v>
      </c>
      <c r="C21">
        <v>63</v>
      </c>
      <c r="D21">
        <v>63</v>
      </c>
      <c r="E21">
        <f t="shared" si="0"/>
        <v>126</v>
      </c>
    </row>
    <row r="22" spans="1:5" x14ac:dyDescent="0.25">
      <c r="A22" s="4">
        <v>46182</v>
      </c>
      <c r="B22" t="s">
        <v>29</v>
      </c>
      <c r="C22">
        <v>29</v>
      </c>
      <c r="D22">
        <v>27</v>
      </c>
      <c r="E22">
        <f t="shared" si="0"/>
        <v>56</v>
      </c>
    </row>
    <row r="23" spans="1:5" x14ac:dyDescent="0.25">
      <c r="A23" s="4">
        <v>46182</v>
      </c>
      <c r="B23" t="s">
        <v>30</v>
      </c>
      <c r="C23">
        <v>20</v>
      </c>
      <c r="D23">
        <v>20</v>
      </c>
      <c r="E23">
        <f t="shared" si="0"/>
        <v>40</v>
      </c>
    </row>
    <row r="24" spans="1:5" x14ac:dyDescent="0.25">
      <c r="A24" s="4">
        <v>46182</v>
      </c>
      <c r="B24" t="s">
        <v>31</v>
      </c>
      <c r="C24">
        <v>62</v>
      </c>
      <c r="D24">
        <v>61</v>
      </c>
      <c r="E24">
        <f t="shared" si="0"/>
        <v>123</v>
      </c>
    </row>
    <row r="25" spans="1:5" x14ac:dyDescent="0.25">
      <c r="A25" s="4">
        <v>46182</v>
      </c>
      <c r="B25" t="s">
        <v>32</v>
      </c>
      <c r="C25">
        <v>41</v>
      </c>
      <c r="D25">
        <v>38</v>
      </c>
      <c r="E25">
        <f t="shared" si="0"/>
        <v>79</v>
      </c>
    </row>
    <row r="26" spans="1:5" x14ac:dyDescent="0.25">
      <c r="A26" s="4">
        <v>46182</v>
      </c>
      <c r="B26" t="s">
        <v>33</v>
      </c>
      <c r="C26">
        <v>28</v>
      </c>
      <c r="D26">
        <v>28</v>
      </c>
      <c r="E26">
        <f t="shared" si="0"/>
        <v>56</v>
      </c>
    </row>
    <row r="27" spans="1:5" x14ac:dyDescent="0.25">
      <c r="A27" s="4">
        <v>46182</v>
      </c>
      <c r="B27" t="s">
        <v>92</v>
      </c>
      <c r="C27">
        <v>56</v>
      </c>
      <c r="D27">
        <v>56</v>
      </c>
      <c r="E27">
        <f t="shared" si="0"/>
        <v>112</v>
      </c>
    </row>
    <row r="28" spans="1:5" x14ac:dyDescent="0.25">
      <c r="A28" s="4">
        <v>46182</v>
      </c>
      <c r="B28" t="s">
        <v>35</v>
      </c>
      <c r="C28">
        <v>15</v>
      </c>
      <c r="D28">
        <v>13</v>
      </c>
      <c r="E28">
        <f t="shared" si="0"/>
        <v>28</v>
      </c>
    </row>
    <row r="29" spans="1:5" x14ac:dyDescent="0.25">
      <c r="A29" s="4">
        <v>46182</v>
      </c>
      <c r="B29" t="s">
        <v>36</v>
      </c>
      <c r="C29">
        <v>7</v>
      </c>
      <c r="D29">
        <v>4</v>
      </c>
      <c r="E29">
        <f t="shared" si="0"/>
        <v>11</v>
      </c>
    </row>
    <row r="30" spans="1:5" x14ac:dyDescent="0.25">
      <c r="A30" s="4">
        <v>46182</v>
      </c>
      <c r="B30" t="s">
        <v>38</v>
      </c>
      <c r="C30">
        <v>43</v>
      </c>
      <c r="D30">
        <v>43</v>
      </c>
      <c r="E30">
        <f t="shared" si="0"/>
        <v>86</v>
      </c>
    </row>
    <row r="31" spans="1:5" x14ac:dyDescent="0.25">
      <c r="A31" s="4">
        <v>46182</v>
      </c>
      <c r="B31" t="s">
        <v>39</v>
      </c>
      <c r="C31">
        <v>66</v>
      </c>
      <c r="D31">
        <v>55</v>
      </c>
      <c r="E31">
        <f t="shared" si="0"/>
        <v>121</v>
      </c>
    </row>
    <row r="32" spans="1:5" x14ac:dyDescent="0.25">
      <c r="A32" s="4">
        <v>46182</v>
      </c>
      <c r="B32" t="s">
        <v>40</v>
      </c>
      <c r="C32">
        <v>4</v>
      </c>
      <c r="D32">
        <v>0</v>
      </c>
      <c r="E32">
        <f t="shared" si="0"/>
        <v>4</v>
      </c>
    </row>
    <row r="33" spans="1:5" x14ac:dyDescent="0.25">
      <c r="A33" s="4">
        <v>46182</v>
      </c>
      <c r="B33" t="s">
        <v>41</v>
      </c>
      <c r="C33">
        <v>82</v>
      </c>
      <c r="D33">
        <v>80</v>
      </c>
      <c r="E33">
        <f t="shared" si="0"/>
        <v>162</v>
      </c>
    </row>
    <row r="34" spans="1:5" x14ac:dyDescent="0.25">
      <c r="A34" s="4">
        <v>46182</v>
      </c>
      <c r="B34" t="s">
        <v>42</v>
      </c>
      <c r="C34">
        <v>39</v>
      </c>
      <c r="D34">
        <v>38</v>
      </c>
      <c r="E34">
        <f t="shared" ref="E34:E65" si="1">SUM(C34:D34)</f>
        <v>77</v>
      </c>
    </row>
    <row r="35" spans="1:5" x14ac:dyDescent="0.25">
      <c r="A35" s="4">
        <v>46182</v>
      </c>
      <c r="B35" t="s">
        <v>43</v>
      </c>
      <c r="C35">
        <v>18</v>
      </c>
      <c r="D35">
        <v>12</v>
      </c>
      <c r="E35">
        <f t="shared" si="1"/>
        <v>30</v>
      </c>
    </row>
    <row r="36" spans="1:5" x14ac:dyDescent="0.25">
      <c r="A36" s="4">
        <v>46182</v>
      </c>
      <c r="B36" t="s">
        <v>44</v>
      </c>
      <c r="C36">
        <v>7</v>
      </c>
      <c r="D36">
        <v>6</v>
      </c>
      <c r="E36">
        <f t="shared" si="1"/>
        <v>13</v>
      </c>
    </row>
    <row r="37" spans="1:5" x14ac:dyDescent="0.25">
      <c r="A37" s="4">
        <v>46182</v>
      </c>
      <c r="B37" t="s">
        <v>45</v>
      </c>
      <c r="C37">
        <v>42</v>
      </c>
      <c r="D37">
        <v>22</v>
      </c>
      <c r="E37">
        <f t="shared" si="1"/>
        <v>64</v>
      </c>
    </row>
    <row r="38" spans="1:5" x14ac:dyDescent="0.25">
      <c r="A38" s="4">
        <v>46182</v>
      </c>
      <c r="B38" t="s">
        <v>46</v>
      </c>
      <c r="C38">
        <v>57</v>
      </c>
      <c r="D38">
        <v>57</v>
      </c>
      <c r="E38">
        <f t="shared" si="1"/>
        <v>114</v>
      </c>
    </row>
    <row r="39" spans="1:5" x14ac:dyDescent="0.25">
      <c r="A39" s="4">
        <v>46182</v>
      </c>
      <c r="B39" t="s">
        <v>93</v>
      </c>
      <c r="C39">
        <v>4</v>
      </c>
      <c r="D39">
        <v>4</v>
      </c>
      <c r="E39">
        <f t="shared" si="1"/>
        <v>8</v>
      </c>
    </row>
    <row r="40" spans="1:5" x14ac:dyDescent="0.25">
      <c r="A40" s="4">
        <v>46182</v>
      </c>
      <c r="B40" t="s">
        <v>49</v>
      </c>
      <c r="C40">
        <v>30</v>
      </c>
      <c r="D40">
        <v>30</v>
      </c>
      <c r="E40">
        <f t="shared" si="1"/>
        <v>60</v>
      </c>
    </row>
    <row r="41" spans="1:5" x14ac:dyDescent="0.25">
      <c r="A41" s="4">
        <v>46182</v>
      </c>
      <c r="B41" t="s">
        <v>50</v>
      </c>
      <c r="C41">
        <v>22</v>
      </c>
      <c r="D41">
        <v>22</v>
      </c>
      <c r="E41">
        <f t="shared" si="1"/>
        <v>44</v>
      </c>
    </row>
    <row r="42" spans="1:5" x14ac:dyDescent="0.25">
      <c r="A42" s="4">
        <v>46182</v>
      </c>
      <c r="B42" t="s">
        <v>51</v>
      </c>
      <c r="C42">
        <v>10</v>
      </c>
      <c r="D42">
        <v>5</v>
      </c>
      <c r="E42">
        <f t="shared" si="1"/>
        <v>15</v>
      </c>
    </row>
    <row r="43" spans="1:5" x14ac:dyDescent="0.25">
      <c r="A43" s="4">
        <v>46182</v>
      </c>
      <c r="B43" t="s">
        <v>52</v>
      </c>
      <c r="C43">
        <v>40</v>
      </c>
      <c r="D43">
        <v>40</v>
      </c>
      <c r="E43">
        <f t="shared" si="1"/>
        <v>80</v>
      </c>
    </row>
    <row r="44" spans="1:5" x14ac:dyDescent="0.25">
      <c r="A44" s="4">
        <v>46182</v>
      </c>
      <c r="B44" t="s">
        <v>53</v>
      </c>
      <c r="C44">
        <v>11</v>
      </c>
      <c r="D44">
        <v>10</v>
      </c>
      <c r="E44">
        <f t="shared" si="1"/>
        <v>21</v>
      </c>
    </row>
    <row r="45" spans="1:5" x14ac:dyDescent="0.25">
      <c r="A45" s="4">
        <v>46182</v>
      </c>
      <c r="B45" t="s">
        <v>54</v>
      </c>
      <c r="C45">
        <v>38</v>
      </c>
      <c r="D45">
        <v>36</v>
      </c>
      <c r="E45">
        <f t="shared" si="1"/>
        <v>74</v>
      </c>
    </row>
    <row r="46" spans="1:5" x14ac:dyDescent="0.25">
      <c r="A46" s="4">
        <v>46182</v>
      </c>
      <c r="B46" t="s">
        <v>55</v>
      </c>
      <c r="C46">
        <v>30</v>
      </c>
      <c r="D46">
        <v>24</v>
      </c>
      <c r="E46">
        <f t="shared" si="1"/>
        <v>54</v>
      </c>
    </row>
    <row r="47" spans="1:5" x14ac:dyDescent="0.25">
      <c r="A47" s="4">
        <v>46182</v>
      </c>
      <c r="B47" t="s">
        <v>56</v>
      </c>
      <c r="C47">
        <v>21</v>
      </c>
      <c r="D47">
        <v>4</v>
      </c>
      <c r="E47">
        <f t="shared" si="1"/>
        <v>25</v>
      </c>
    </row>
    <row r="48" spans="1:5" x14ac:dyDescent="0.25">
      <c r="A48" s="4">
        <v>46182</v>
      </c>
      <c r="B48" t="s">
        <v>57</v>
      </c>
      <c r="C48">
        <v>4</v>
      </c>
      <c r="D48">
        <v>4</v>
      </c>
      <c r="E48">
        <f t="shared" si="1"/>
        <v>8</v>
      </c>
    </row>
    <row r="49" spans="1:5" x14ac:dyDescent="0.25">
      <c r="A49" s="4">
        <v>46182</v>
      </c>
      <c r="B49" t="s">
        <v>58</v>
      </c>
      <c r="C49">
        <v>62</v>
      </c>
      <c r="D49">
        <v>62</v>
      </c>
      <c r="E49">
        <f t="shared" si="1"/>
        <v>124</v>
      </c>
    </row>
    <row r="50" spans="1:5" x14ac:dyDescent="0.25">
      <c r="A50" s="4">
        <v>46182</v>
      </c>
      <c r="B50" t="s">
        <v>59</v>
      </c>
      <c r="C50">
        <v>56</v>
      </c>
      <c r="D50">
        <v>55</v>
      </c>
      <c r="E50">
        <f t="shared" si="1"/>
        <v>111</v>
      </c>
    </row>
    <row r="51" spans="1:5" x14ac:dyDescent="0.25">
      <c r="A51" s="4">
        <v>46182</v>
      </c>
      <c r="B51" t="s">
        <v>60</v>
      </c>
      <c r="C51">
        <v>65</v>
      </c>
      <c r="D51">
        <v>16</v>
      </c>
      <c r="E51">
        <f t="shared" si="1"/>
        <v>81</v>
      </c>
    </row>
    <row r="52" spans="1:5" x14ac:dyDescent="0.25">
      <c r="A52" s="4">
        <v>46182</v>
      </c>
      <c r="B52" t="s">
        <v>62</v>
      </c>
      <c r="C52">
        <v>37</v>
      </c>
      <c r="D52">
        <v>35</v>
      </c>
      <c r="E52">
        <f t="shared" si="1"/>
        <v>72</v>
      </c>
    </row>
    <row r="53" spans="1:5" x14ac:dyDescent="0.25">
      <c r="A53" s="4">
        <v>46182</v>
      </c>
      <c r="B53" t="s">
        <v>63</v>
      </c>
      <c r="C53">
        <v>18</v>
      </c>
      <c r="D53">
        <v>1</v>
      </c>
      <c r="E53">
        <f t="shared" si="1"/>
        <v>19</v>
      </c>
    </row>
    <row r="54" spans="1:5" x14ac:dyDescent="0.25">
      <c r="A54" s="4">
        <v>46182</v>
      </c>
      <c r="B54" t="s">
        <v>64</v>
      </c>
      <c r="C54">
        <v>21</v>
      </c>
      <c r="D54">
        <v>16</v>
      </c>
      <c r="E54">
        <f t="shared" si="1"/>
        <v>37</v>
      </c>
    </row>
    <row r="55" spans="1:5" x14ac:dyDescent="0.25">
      <c r="A55" s="4">
        <v>46182</v>
      </c>
      <c r="B55" t="s">
        <v>94</v>
      </c>
      <c r="C55">
        <v>0</v>
      </c>
      <c r="D55">
        <v>0</v>
      </c>
      <c r="E55">
        <f t="shared" si="1"/>
        <v>0</v>
      </c>
    </row>
    <row r="56" spans="1:5" x14ac:dyDescent="0.25">
      <c r="A56" s="4">
        <v>46182</v>
      </c>
      <c r="B56" t="s">
        <v>65</v>
      </c>
      <c r="C56">
        <v>44</v>
      </c>
      <c r="D56">
        <v>44</v>
      </c>
      <c r="E56">
        <f t="shared" si="1"/>
        <v>88</v>
      </c>
    </row>
    <row r="57" spans="1:5" x14ac:dyDescent="0.25">
      <c r="A57" s="4">
        <v>46182</v>
      </c>
      <c r="B57" t="s">
        <v>67</v>
      </c>
      <c r="C57">
        <v>40</v>
      </c>
      <c r="D57">
        <v>29</v>
      </c>
      <c r="E57">
        <f t="shared" si="1"/>
        <v>69</v>
      </c>
    </row>
    <row r="58" spans="1:5" x14ac:dyDescent="0.25">
      <c r="A58" s="4">
        <v>46182</v>
      </c>
      <c r="B58" t="s">
        <v>68</v>
      </c>
      <c r="C58">
        <v>35</v>
      </c>
      <c r="D58">
        <v>35</v>
      </c>
      <c r="E58">
        <f t="shared" si="1"/>
        <v>70</v>
      </c>
    </row>
    <row r="59" spans="1:5" x14ac:dyDescent="0.25">
      <c r="A59" s="4">
        <v>46182</v>
      </c>
      <c r="B59" t="s">
        <v>69</v>
      </c>
      <c r="C59">
        <v>25</v>
      </c>
      <c r="D59">
        <v>25</v>
      </c>
      <c r="E59">
        <f t="shared" si="1"/>
        <v>50</v>
      </c>
    </row>
    <row r="60" spans="1:5" x14ac:dyDescent="0.25">
      <c r="A60" s="4">
        <v>46182</v>
      </c>
      <c r="B60" t="s">
        <v>70</v>
      </c>
      <c r="C60">
        <v>49</v>
      </c>
      <c r="D60">
        <v>30</v>
      </c>
      <c r="E60">
        <f t="shared" si="1"/>
        <v>79</v>
      </c>
    </row>
    <row r="61" spans="1:5" x14ac:dyDescent="0.25">
      <c r="A61" s="4">
        <v>46182</v>
      </c>
      <c r="B61" t="s">
        <v>71</v>
      </c>
      <c r="C61">
        <v>68</v>
      </c>
      <c r="D61">
        <v>65</v>
      </c>
      <c r="E61">
        <f t="shared" si="1"/>
        <v>133</v>
      </c>
    </row>
    <row r="62" spans="1:5" x14ac:dyDescent="0.25">
      <c r="A62" s="4">
        <v>46182</v>
      </c>
      <c r="B62" t="s">
        <v>61</v>
      </c>
      <c r="C62">
        <v>103</v>
      </c>
      <c r="D62">
        <v>92</v>
      </c>
      <c r="E62">
        <f t="shared" si="1"/>
        <v>195</v>
      </c>
    </row>
  </sheetData>
  <autoFilter ref="A1:E1" xr:uid="{00000000-0001-0000-0300-000000000000}">
    <sortState xmlns:xlrd2="http://schemas.microsoft.com/office/spreadsheetml/2017/richdata2" ref="A2:E61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F2" sqref="F2"/>
    </sheetView>
  </sheetViews>
  <sheetFormatPr defaultRowHeight="15" x14ac:dyDescent="0.25"/>
  <cols>
    <col min="1" max="1" width="10.42578125" bestFit="1" customWidth="1"/>
    <col min="4" max="4" width="10.42578125" bestFit="1" customWidth="1"/>
  </cols>
  <sheetData>
    <row r="1" spans="1:6" x14ac:dyDescent="0.25">
      <c r="A1" t="s">
        <v>0</v>
      </c>
      <c r="B1" t="s">
        <v>72</v>
      </c>
      <c r="C1" t="s">
        <v>4</v>
      </c>
      <c r="D1" t="s">
        <v>84</v>
      </c>
      <c r="E1" t="s">
        <v>3</v>
      </c>
      <c r="F1" t="s">
        <v>5</v>
      </c>
    </row>
    <row r="2" spans="1:6" x14ac:dyDescent="0.25">
      <c r="A2" s="4">
        <v>46182</v>
      </c>
      <c r="B2" t="s">
        <v>85</v>
      </c>
      <c r="C2">
        <v>466</v>
      </c>
      <c r="D2">
        <v>30</v>
      </c>
      <c r="E2">
        <v>19</v>
      </c>
      <c r="F2">
        <f>SUM(C2:E2)</f>
        <v>515</v>
      </c>
    </row>
    <row r="3" spans="1:6" x14ac:dyDescent="0.25">
      <c r="A3" s="4">
        <v>46182</v>
      </c>
      <c r="B3" t="s">
        <v>86</v>
      </c>
      <c r="C3">
        <v>533</v>
      </c>
      <c r="D3">
        <v>55</v>
      </c>
      <c r="E3">
        <v>28</v>
      </c>
      <c r="F3">
        <f>SUM(C3:E3)</f>
        <v>616</v>
      </c>
    </row>
    <row r="4" spans="1:6" x14ac:dyDescent="0.25">
      <c r="A4" s="4">
        <v>46182</v>
      </c>
      <c r="B4" t="s">
        <v>87</v>
      </c>
      <c r="C4">
        <v>299</v>
      </c>
      <c r="D4">
        <v>31</v>
      </c>
      <c r="E4">
        <v>9</v>
      </c>
      <c r="F4">
        <f>SUM(C4:E4)</f>
        <v>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LANCAMENTO</vt:lpstr>
      <vt:lpstr>BASE_DADOS</vt:lpstr>
      <vt:lpstr>ADM_ATENDIMENTO</vt:lpstr>
      <vt:lpstr>BAIXA_MOBILE</vt:lpstr>
      <vt:lpstr>BAIXA_PILOTO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thamirys de oliveira pires</dc:creator>
  <cp:lastModifiedBy>thamirys de oliveira pires</cp:lastModifiedBy>
  <dcterms:created xsi:type="dcterms:W3CDTF">2026-05-28T12:29:22Z</dcterms:created>
  <dcterms:modified xsi:type="dcterms:W3CDTF">2026-06-11T17:40:27Z</dcterms:modified>
</cp:coreProperties>
</file>